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. Seccion" sheetId="1" r:id="rId1"/>
    <sheet name="Carga admisible" sheetId="2" r:id="rId2"/>
    <sheet name="Tabla Multi-Ejercicios" sheetId="3" r:id="rId3"/>
    <sheet name="Columna Circular" sheetId="4" r:id="rId4"/>
    <sheet name="Columnas en I" sheetId="5" r:id="rId5"/>
  </sheets>
</workbook>
</file>

<file path=xl/sharedStrings.xml><?xml version="1.0" encoding="utf-8"?>
<sst xmlns="http://schemas.openxmlformats.org/spreadsheetml/2006/main" count="301" uniqueCount="301">
  <si>
    <t xml:space="preserve">PROPIEDADES DE SECCIÓN TRANSVERSAL</t>
  </si>
  <si>
    <t xml:space="preserve">Universidad Nacional de Loja — Resistencia de Materiales</t>
  </si>
  <si>
    <t xml:space="preserve">⚙ Ingrese los datos en las celdas AMARILLAS y los resultados se calculan automáticamente</t>
  </si>
  <si>
    <t xml:space="preserve">Las fórmulas están explicadas paso a paso en la columna D</t>
  </si>
  <si>
    <t xml:space="preserve">1. SECCIÓN CIRCULAR SÓLIDA</t>
  </si>
  <si>
    <t xml:space="preserve">Fórmula / Explicación</t>
  </si>
  <si>
    <t xml:space="preserve">   DATOS DE ENTRADA:</t>
  </si>
  <si>
    <t xml:space="preserve">¿Para qué sirve?</t>
  </si>
  <si>
    <t xml:space="preserve">   Paso 1: Ingrese el radio (r)</t>
  </si>
  <si>
    <t xml:space="preserve">m</t>
  </si>
  <si>
    <t xml:space="preserve">Radio de la sección circular. Dato principal de entrada.</t>
  </si>
  <si>
    <t xml:space="preserve">    ●</t>
  </si>
  <si>
    <t xml:space="preserve">  (   )</t>
  </si>
  <si>
    <t xml:space="preserve">   RESULTADOS AUTOMÁTICOS:</t>
  </si>
  <si>
    <t xml:space="preserve">   Paso 2: Diámetro (d = 2r)</t>
  </si>
  <si>
    <t xml:space="preserve">Diámetro = 2 veces el radio. Dimensión total de la sección.</t>
  </si>
  <si>
    <t xml:space="preserve">   Paso 3: Área (A = π·r²)</t>
  </si>
  <si>
    <t xml:space="preserve">m²</t>
  </si>
  <si>
    <t xml:space="preserve">Área transversal. Determina la resistencia a carga axial (P = σ·A).</t>
  </si>
  <si>
    <t xml:space="preserve">   Paso 4: Inercia (I = π·r⁴/4)</t>
  </si>
  <si>
    <t xml:space="preserve">m⁴</t>
  </si>
  <si>
    <t xml:space="preserve">Momento de inercia. Mide la resistencia a la flexión y pandeo.</t>
  </si>
  <si>
    <t xml:space="preserve">   Paso 5: Módulo de sección (S = π·r³/4)</t>
  </si>
  <si>
    <t xml:space="preserve">m³</t>
  </si>
  <si>
    <t xml:space="preserve">S = I/c. Relaciona momento flector con esfuerzo máximo (σ = M/S).</t>
  </si>
  <si>
    <t xml:space="preserve">   Paso 6: Radio de giro (rg = r/2)</t>
  </si>
  <si>
    <t xml:space="preserve">rg = √(I/A). Indica tendencia al pandeo. Menor rg = más propenso.</t>
  </si>
  <si>
    <t xml:space="preserve">2. SECCIÓN CIRCULAR HUECA (Tubo)</t>
  </si>
  <si>
    <t xml:space="preserve">   Paso 1: Radio exterior (R)</t>
  </si>
  <si>
    <t xml:space="preserve">Radio externo del tubo. Define el tamaño total.</t>
  </si>
  <si>
    <t xml:space="preserve">  ◎</t>
  </si>
  <si>
    <t xml:space="preserve">   Paso 2: Radio interior (r)</t>
  </si>
  <si>
    <t xml:space="preserve">Radio interno (hueco). El espesor = R - r.</t>
  </si>
  <si>
    <t xml:space="preserve"> (○)</t>
  </si>
  <si>
    <t xml:space="preserve">   Paso 3: Área (A = π(R²-r²))</t>
  </si>
  <si>
    <t xml:space="preserve">Área del anillo = Área exterior - Área interior.</t>
  </si>
  <si>
    <t xml:space="preserve">   Paso 4: Inercia (I = π(R⁴-r⁴)/4)</t>
  </si>
  <si>
    <t xml:space="preserve">Inercia del tubo. Mayor que sólido del mismo peso (más eficiente).</t>
  </si>
  <si>
    <t xml:space="preserve">   Paso 5: Módulo de sección (S = I/R)</t>
  </si>
  <si>
    <t xml:space="preserve">S = I/c donde c = R (distancia al borde exterior).</t>
  </si>
  <si>
    <t xml:space="preserve">   Paso 6: Radio de giro (rg = √(I/A))</t>
  </si>
  <si>
    <t xml:space="preserve">rg = √(I/A). Un tubo tiene mayor rg que sólido → resiste más pandeo.</t>
  </si>
  <si>
    <t xml:space="preserve">3. SECCIÓN CUADRADA SÓLIDA</t>
  </si>
  <si>
    <t xml:space="preserve">   Paso 1: Lado (a)</t>
  </si>
  <si>
    <t xml:space="preserve">Longitud del lado del cuadrado.</t>
  </si>
  <si>
    <t xml:space="preserve">  ■</t>
  </si>
  <si>
    <t xml:space="preserve"> [  ]</t>
  </si>
  <si>
    <t xml:space="preserve">   Paso 2: Área (A = a²)</t>
  </si>
  <si>
    <t xml:space="preserve">Área = lado al cuadrado.</t>
  </si>
  <si>
    <t xml:space="preserve">   Paso 3: Inercia (I = a⁴/12)</t>
  </si>
  <si>
    <t xml:space="preserve">I = b·h³/12. Como b=h=a → I = a⁴/12.</t>
  </si>
  <si>
    <t xml:space="preserve">   Paso 4: Módulo de sección (S = a³/6)</t>
  </si>
  <si>
    <t xml:space="preserve">S = I/c = (a⁴/12)/(a/2) = a³/6.</t>
  </si>
  <si>
    <t xml:space="preserve">   Paso 5: Radio de giro (rg = a/√12)</t>
  </si>
  <si>
    <t xml:space="preserve">rg = √(I/A) = √(a⁴/12 / a²) = a/√12 ≈ 0.289·a.</t>
  </si>
  <si>
    <t xml:space="preserve">4. SECCIÓN CUADRADA HUECA</t>
  </si>
  <si>
    <t xml:space="preserve">   Paso 1: Lado exterior (a_ext)</t>
  </si>
  <si>
    <t xml:space="preserve">Dimensión exterior del perfil tubular cuadrado.</t>
  </si>
  <si>
    <t xml:space="preserve">  ▣</t>
  </si>
  <si>
    <t xml:space="preserve">   Paso 2: Lado interior (a_int)</t>
  </si>
  <si>
    <t xml:space="preserve">Dimensión interior. Espesor de pared = (a_ext - a_int)/2.</t>
  </si>
  <si>
    <t xml:space="preserve"> [□]</t>
  </si>
  <si>
    <t xml:space="preserve">   Paso 3: Área (A = a_ext² - a_int²)</t>
  </si>
  <si>
    <t xml:space="preserve">Área neta = Área exterior menos hueco interior.</t>
  </si>
  <si>
    <t xml:space="preserve">   Paso 4: Inercia (I = (a_ext⁴-a_int⁴)/12)</t>
  </si>
  <si>
    <t xml:space="preserve">I = I_exterior - I_interior = a_ext⁴/12 - a_int⁴/12.</t>
  </si>
  <si>
    <t xml:space="preserve">   Paso 5: Módulo de sección (S = I/(a_ext/2))</t>
  </si>
  <si>
    <t xml:space="preserve">S = I/c donde c = a_ext/2 (distancia al borde).</t>
  </si>
  <si>
    <t xml:space="preserve">rg = √(I/A). Tubular hueco tiene mejor rg que sólido.</t>
  </si>
  <si>
    <t xml:space="preserve">5. SECCIÓN RECTANGULAR SÓLIDA</t>
  </si>
  <si>
    <t xml:space="preserve">   Paso 1: Base (b)</t>
  </si>
  <si>
    <t xml:space="preserve">Ancho de la sección (dimensión horizontal).</t>
  </si>
  <si>
    <t xml:space="preserve">  ▬</t>
  </si>
  <si>
    <t xml:space="preserve">   Paso 2: Altura (h)</t>
  </si>
  <si>
    <t xml:space="preserve">Alto de la sección (dimensión vertical).</t>
  </si>
  <si>
    <t xml:space="preserve"> [==]</t>
  </si>
  <si>
    <t xml:space="preserve">   Paso 3: Área (A = b·h)</t>
  </si>
  <si>
    <t xml:space="preserve">Área = base por altura.</t>
  </si>
  <si>
    <t xml:space="preserve">   Paso 4: Ix (inercia eje x) = b·h³/12</t>
  </si>
  <si>
    <t xml:space="preserve">Inercia respecto al eje x (horizontal). Resiste flexión vertical.</t>
  </si>
  <si>
    <t xml:space="preserve">   Paso 5: Iy (inercia eje y) = h·b³/12</t>
  </si>
  <si>
    <t xml:space="preserve">Inercia respecto al eje y (vertical). Resiste flexión horizontal.</t>
  </si>
  <si>
    <t xml:space="preserve">   Paso 6: Sx = b·h²/6</t>
  </si>
  <si>
    <t xml:space="preserve">Módulo de sección eje x. σ_max = M/Sx.</t>
  </si>
  <si>
    <t xml:space="preserve">   Paso 7: Sy = h·b²/6</t>
  </si>
  <si>
    <t xml:space="preserve">Módulo de sección eje y.</t>
  </si>
  <si>
    <t xml:space="preserve">   Paso 8: rx = h/√12</t>
  </si>
  <si>
    <t xml:space="preserve">Radio de giro eje x = √(Ix/A).</t>
  </si>
  <si>
    <t xml:space="preserve">   Paso 9: ry = b/√12</t>
  </si>
  <si>
    <t xml:space="preserve">Radio de giro eje y = √(Iy/A). Si ry &lt; rx, pandea en eje y.</t>
  </si>
  <si>
    <t xml:space="preserve">6. SECCIÓN RECTANGULAR HUECA</t>
  </si>
  <si>
    <t xml:space="preserve">   Paso 1: Base exterior (b_ext)</t>
  </si>
  <si>
    <t xml:space="preserve">Ancho exterior del perfil.</t>
  </si>
  <si>
    <t xml:space="preserve">  ▭</t>
  </si>
  <si>
    <t xml:space="preserve">   Paso 2: Altura exterior (h_ext)</t>
  </si>
  <si>
    <t xml:space="preserve">Altura exterior del perfil.</t>
  </si>
  <si>
    <t xml:space="preserve"> [═]</t>
  </si>
  <si>
    <t xml:space="preserve">   Paso 3: Base interior (b_int)</t>
  </si>
  <si>
    <t xml:space="preserve">Ancho del hueco interior.</t>
  </si>
  <si>
    <t xml:space="preserve">   Paso 4: Altura interior (h_int)</t>
  </si>
  <si>
    <t xml:space="preserve">Altura del hueco interior.</t>
  </si>
  <si>
    <t xml:space="preserve">   Paso 5: Área = b_ext·h_ext - b_int·h_int</t>
  </si>
  <si>
    <t xml:space="preserve">Área total exterior menos área del hueco.</t>
  </si>
  <si>
    <t xml:space="preserve">   Paso 6: Ix = (b_ext·h_ext³ - b_int·h_int³)/12</t>
  </si>
  <si>
    <t xml:space="preserve">Inercia eje x = Ix_exterior - Ix_interior.</t>
  </si>
  <si>
    <t xml:space="preserve">   Paso 7: Iy = (h_ext·b_ext³ - h_int·b_int³)/12</t>
  </si>
  <si>
    <t xml:space="preserve">Inercia eje y = Iy_exterior - Iy_interior.</t>
  </si>
  <si>
    <t xml:space="preserve">   Paso 8: Sx = Ix / (h_ext/2)</t>
  </si>
  <si>
    <t xml:space="preserve">Módulo de sección eje x. c = h_ext/2.</t>
  </si>
  <si>
    <t xml:space="preserve">   Paso 9: Sy = Iy / (b_ext/2)</t>
  </si>
  <si>
    <t xml:space="preserve">Módulo de sección eje y. c = b_ext/2.</t>
  </si>
  <si>
    <t xml:space="preserve">   Paso 10: rx = √(Ix/A)</t>
  </si>
  <si>
    <t xml:space="preserve">Radio de giro eje x.</t>
  </si>
  <si>
    <t xml:space="preserve">   Paso 11: ry = √(Iy/A)</t>
  </si>
  <si>
    <t xml:space="preserve">Radio de giro eje y. El menor rige el pandeo.</t>
  </si>
  <si>
    <t xml:space="preserve">CARGA ADMISIBLE CON PANDEO DE EULER</t>
  </si>
  <si>
    <t xml:space="preserve">⚙ Modifique las celdas AMARILLAS para su ejercicio. Todo se recalcula.</t>
  </si>
  <si>
    <t xml:space="preserve">PASO 1: DATOS DE ENTRADA</t>
  </si>
  <si>
    <t xml:space="preserve">¿Qué significa?</t>
  </si>
  <si>
    <t xml:space="preserve">   1.1 E — Módulo de elasticidad</t>
  </si>
  <si>
    <t xml:space="preserve">GPa</t>
  </si>
  <si>
    <t xml:space="preserve">Rigidez del material. Acero ≈ 200 GPa, Aluminio ≈ 70 GPa.</t>
  </si>
  <si>
    <t xml:space="preserve">   1.2 Fy — Esfuerzo de fluencia</t>
  </si>
  <si>
    <t xml:space="preserve">MPa</t>
  </si>
  <si>
    <t xml:space="preserve">Esfuerzo máximo antes de deformación permanente. A992 = 345 MPa.</t>
  </si>
  <si>
    <t xml:space="preserve">   1.3 A — Área de la sección</t>
  </si>
  <si>
    <t xml:space="preserve">Área transversal del perfil. Se obtiene de tablas AISC o cálculo.</t>
  </si>
  <si>
    <t xml:space="preserve">   1.4 Ix — Inercia eje fuerte x</t>
  </si>
  <si>
    <t xml:space="preserve">Momento de inercia mayor. Resiste pandeo en eje x.</t>
  </si>
  <si>
    <t xml:space="preserve">   1.5 Iy — Inercia eje débil y</t>
  </si>
  <si>
    <t xml:space="preserve">Momento de inercia menor. Eje débil = donde pandea primero.</t>
  </si>
  <si>
    <t xml:space="preserve">   1.6 L — Longitud de la columna</t>
  </si>
  <si>
    <t xml:space="preserve">Longitud total entre apoyos de la columna.</t>
  </si>
  <si>
    <t xml:space="preserve">   1.7 Kx — Factor long. efectiva eje x</t>
  </si>
  <si>
    <t xml:space="preserve">-</t>
  </si>
  <si>
    <t xml:space="preserve">K depende de apoyos: Art-Art=1, Emp-Emp=0.5, Emp-Libre=2.</t>
  </si>
  <si>
    <t xml:space="preserve">   1.8 Lx — Long. no arriostrada eje x</t>
  </si>
  <si>
    <t xml:space="preserve">Longitud libre sin soporte lateral en eje x.</t>
  </si>
  <si>
    <t xml:space="preserve">   1.9 Ky — Factor long. efectiva eje y</t>
  </si>
  <si>
    <t xml:space="preserve">Factor K para el eje débil.</t>
  </si>
  <si>
    <t xml:space="preserve">   1.10 Ly — Long. no arriostrada eje y</t>
  </si>
  <si>
    <t xml:space="preserve">Si arriostrado a media altura: Ly = L/2.</t>
  </si>
  <si>
    <t xml:space="preserve">   1.11 F.S. — Factor de seguridad</t>
  </si>
  <si>
    <t xml:space="preserve">Factor de seguridad contra pandeo. Típico = 1.67 a 2.0.</t>
  </si>
  <si>
    <t xml:space="preserve">PASO 2: DESARROLLO DEL CÁLCULO</t>
  </si>
  <si>
    <t xml:space="preserve">Procedimiento paso a paso</t>
  </si>
  <si>
    <t xml:space="preserve">   2.1 Convertir E a Pascales</t>
  </si>
  <si>
    <t xml:space="preserve">Pa</t>
  </si>
  <si>
    <t xml:space="preserve">E(Pa) = E(GPa) × 10⁹. Necesario para que unidades sean consistentes.</t>
  </si>
  <si>
    <t xml:space="preserve">   2.2 Convertir Fy a Pascales</t>
  </si>
  <si>
    <t xml:space="preserve">Fy(Pa) = Fy(MPa) × 10⁶.</t>
  </si>
  <si>
    <t xml:space="preserve">   2.3 Longitud efectiva eje x: (KL)x</t>
  </si>
  <si>
    <t xml:space="preserve">(KL)x = Kx × Lx. Longitud equivalente para pandeo.</t>
  </si>
  <si>
    <t xml:space="preserve">   2.4 Longitud efectiva eje y: (KL)y</t>
  </si>
  <si>
    <t xml:space="preserve">(KL)y = Ky × Ly.</t>
  </si>
  <si>
    <t xml:space="preserve">   2.5 Pcr,x = π²·E·Ix / (KL)x²</t>
  </si>
  <si>
    <t xml:space="preserve">N</t>
  </si>
  <si>
    <t xml:space="preserve">Carga crítica de Euler eje x. Fórmula fundamental de pandeo.</t>
  </si>
  <si>
    <t xml:space="preserve">   2.6 Pcr,y = π²·E·Iy / (KL)y²</t>
  </si>
  <si>
    <t xml:space="preserve">Carga crítica de Euler eje y.</t>
  </si>
  <si>
    <t xml:space="preserve">   2.7 Eje que gobierna el pandeo</t>
  </si>
  <si>
    <t xml:space="preserve">El eje con MENOR Pcr gobierna. La columna pandea ahí primero.</t>
  </si>
  <si>
    <t xml:space="preserve">   2.8 Pcr (pandeo) = mín(Pcr,x; Pcr,y)</t>
  </si>
  <si>
    <t xml:space="preserve">Carga crítica gobernante (la menor de ambos ejes).</t>
  </si>
  <si>
    <t xml:space="preserve">PASO 3: VERIFICACIÓN POR FLUENCIA</t>
  </si>
  <si>
    <t xml:space="preserve">Comprobar que pandeo ocurre antes que fluencia</t>
  </si>
  <si>
    <t xml:space="preserve">   3.1 σ pandeo = Pcr / A</t>
  </si>
  <si>
    <t xml:space="preserve">Esfuerzo que produciría el pandeo en la columna.</t>
  </si>
  <si>
    <t xml:space="preserve">   3.2 σ pandeo en MPa</t>
  </si>
  <si>
    <t xml:space="preserve">Conversión a MPa para comparar con Fy.</t>
  </si>
  <si>
    <t xml:space="preserve">   3.3 Pcr fluencia = Fy × A</t>
  </si>
  <si>
    <t xml:space="preserve">Carga máxima si el material fluye antes de pandear.</t>
  </si>
  <si>
    <t xml:space="preserve">   3.4 ¿σ &lt; Fy? → ¿Rige pandeo?</t>
  </si>
  <si>
    <t xml:space="preserve">Si σ &lt; Fy: la columna pandea antes de fluir (Euler válido).</t>
  </si>
  <si>
    <t xml:space="preserve">   3.5 Pcr final (gobernante)</t>
  </si>
  <si>
    <t xml:space="preserve">Se usa el MENOR: Pcr_pandeo o Pcr_fluencia.</t>
  </si>
  <si>
    <t xml:space="preserve">PASO 4: CARGA ADMISIBLE (RESULTADO)</t>
  </si>
  <si>
    <t xml:space="preserve">   4.1 P_admisible = Pcr_final / F.S.</t>
  </si>
  <si>
    <t xml:space="preserve">Dividimos por factor de seguridad para obtener carga de diseño.</t>
  </si>
  <si>
    <t xml:space="preserve">   4.2 P_admisible en kN</t>
  </si>
  <si>
    <t xml:space="preserve">kN</t>
  </si>
  <si>
    <t xml:space="preserve">Conversión a kilonewtons.</t>
  </si>
  <si>
    <t xml:space="preserve">   ★ RESULTADO FINAL: P admisible =</t>
  </si>
  <si>
    <t xml:space="preserve">Esta es la CARGA MÁXIMA que puede soportar la columna con seguridad.</t>
  </si>
  <si>
    <t xml:space="preserve">TABLA MULTI-EJERCICIOS — Pandeo de Columnas (Automatizada)</t>
  </si>
  <si>
    <t xml:space="preserve">⚙ INSTRUCCIONES: Llene las columnas A-K (azul claro) y U (F.S.). Las columnas L-V (verde) se calculan solas.</t>
  </si>
  <si>
    <t xml:space="preserve">Puede resolver hasta 10 ejercicios simultáneamente.</t>
  </si>
  <si>
    <t xml:space="preserve">N.°</t>
  </si>
  <si>
    <t xml:space="preserve">Descripción</t>
  </si>
  <si>
    <t xml:space="preserve">E(GPa)</t>
  </si>
  <si>
    <t xml:space="preserve">Fy(MPa)</t>
  </si>
  <si>
    <t xml:space="preserve">A(m²)</t>
  </si>
  <si>
    <t xml:space="preserve">Ix(m⁴)</t>
  </si>
  <si>
    <t xml:space="preserve">Iy(m⁴)</t>
  </si>
  <si>
    <t xml:space="preserve">Kx</t>
  </si>
  <si>
    <t xml:space="preserve">Lx(m)</t>
  </si>
  <si>
    <t xml:space="preserve">Ky</t>
  </si>
  <si>
    <t xml:space="preserve">Ly(m)</t>
  </si>
  <si>
    <t xml:space="preserve">(KL)x</t>
  </si>
  <si>
    <t xml:space="preserve">(KL)y</t>
  </si>
  <si>
    <t xml:space="preserve">Pcr,x(N)</t>
  </si>
  <si>
    <t xml:space="preserve">Pcr,y(N)</t>
  </si>
  <si>
    <t xml:space="preserve">Eje gov.</t>
  </si>
  <si>
    <t xml:space="preserve">Pcr(kN)</t>
  </si>
  <si>
    <t xml:space="preserve">σ(MPa)</t>
  </si>
  <si>
    <t xml:space="preserve">Pcr_fl(kN)</t>
  </si>
  <si>
    <t xml:space="preserve">Modo falla</t>
  </si>
  <si>
    <t xml:space="preserve">F.S.</t>
  </si>
  <si>
    <t xml:space="preserve">P_adm(kN)</t>
  </si>
  <si>
    <t xml:space="preserve">Columna A992 arriost. media altura</t>
  </si>
  <si>
    <t xml:space="preserve">LEYENDA DE COLORES:</t>
  </si>
  <si>
    <t xml:space="preserve">   Amarillo = Dato editable (usted lo ingresa)</t>
  </si>
  <si>
    <t xml:space="preserve">   Verde = Resultado automático (NO tocar)</t>
  </si>
  <si>
    <t xml:space="preserve">COLUMNA CIRCULAR — Normas ACI y NSR-84</t>
  </si>
  <si>
    <t xml:space="preserve">Tubo de acero empotrado en la base. Análisis para 3 longitudes.</t>
  </si>
  <si>
    <t xml:space="preserve">⚙ Cambie las celdas AMARILLAS y todo se recalcula automáticamente.</t>
  </si>
  <si>
    <t xml:space="preserve">PASO 1: DATOS DEL MATERIAL</t>
  </si>
  <si>
    <t xml:space="preserve">Explicación</t>
  </si>
  <si>
    <t xml:space="preserve">   1.1 E (módulo elasticidad)</t>
  </si>
  <si>
    <t xml:space="preserve">Rigidez del acero.</t>
  </si>
  <si>
    <t xml:space="preserve">   1.2 Fy (esfuerzo fluencia)</t>
  </si>
  <si>
    <t xml:space="preserve">Límite elástico del acero.</t>
  </si>
  <si>
    <t xml:space="preserve">   1.3 k (factor longitud efectiva)</t>
  </si>
  <si>
    <t xml:space="preserve">k=2 para empotrado-libre. k=1 art-art. k=0.5 emp-emp.</t>
  </si>
  <si>
    <t xml:space="preserve">PASO 2: LONGITUDES</t>
  </si>
  <si>
    <t xml:space="preserve">   2.1 L1</t>
  </si>
  <si>
    <t xml:space="preserve">   2.2 L2</t>
  </si>
  <si>
    <t xml:space="preserve">   2.3 L3</t>
  </si>
  <si>
    <t xml:space="preserve">PASO 3: DIMENSIONES DEL TUBO</t>
  </si>
  <si>
    <t xml:space="preserve">   3.1 D.int (diámetro interior)</t>
  </si>
  <si>
    <t xml:space="preserve">cm</t>
  </si>
  <si>
    <t xml:space="preserve">   3.2 D.ext (diámetro exterior)</t>
  </si>
  <si>
    <t xml:space="preserve">PASO 4: PROPIEDADES CALCULADAS</t>
  </si>
  <si>
    <t xml:space="preserve">Derivación</t>
  </si>
  <si>
    <t xml:space="preserve">   4.1 I = π(D_ext⁴-D_int⁴)/64</t>
  </si>
  <si>
    <t xml:space="preserve">Inercia de tubo circular. Se usa D(m) = D(cm)/100.</t>
  </si>
  <si>
    <t xml:space="preserve">   4.2 A = π(D_ext²-D_int²)/4</t>
  </si>
  <si>
    <t xml:space="preserve">Área del anillo = Área ext - Área int.</t>
  </si>
  <si>
    <t xml:space="preserve">   4.3 r = √(I/A) (radio de giro)</t>
  </si>
  <si>
    <t xml:space="preserve">Radio de giro. Determina la esbeltez kL/r.</t>
  </si>
  <si>
    <t xml:space="preserve">   4.4 Cc = √(2π²E/Fy)</t>
  </si>
  <si>
    <t xml:space="preserve">Esbeltez crítica. Si kL/r &lt; Cc: col. corta. Si kL/r &gt; Cc: col. larga.</t>
  </si>
  <si>
    <t xml:space="preserve">PASO 5: NORMA ACI (Pandeo de Euler)</t>
  </si>
  <si>
    <t xml:space="preserve">L2</t>
  </si>
  <si>
    <t xml:space="preserve">L3</t>
  </si>
  <si>
    <t xml:space="preserve">   5.1 Le = k·L</t>
  </si>
  <si>
    <t xml:space="preserve">   5.2 kL/r (esbeltez)</t>
  </si>
  <si>
    <t xml:space="preserve">   5.3 Pcr = π²EI/(kL)²</t>
  </si>
  <si>
    <t xml:space="preserve">   5.4 Pcr (kN)</t>
  </si>
  <si>
    <t xml:space="preserve">   5.5 σcr = Pcr/A</t>
  </si>
  <si>
    <t xml:space="preserve">PASO 6: NORMA NSR-84</t>
  </si>
  <si>
    <t xml:space="preserve">L1</t>
  </si>
  <si>
    <t xml:space="preserve">   6.1 Esbeltez kL/r</t>
  </si>
  <si>
    <t xml:space="preserve">   6.2 Tipo columna</t>
  </si>
  <si>
    <t xml:space="preserve">   6.3 σa (MPa)</t>
  </si>
  <si>
    <t xml:space="preserve">   6.4 P admisible (kN)</t>
  </si>
  <si>
    <t xml:space="preserve">COLUMNAS EN I — Análisis con Diferentes Condiciones de Apoyo</t>
  </si>
  <si>
    <t xml:space="preserve">Perfil W10x60. Análisis con 4 valores de K.</t>
  </si>
  <si>
    <t xml:space="preserve">⚙ Modifique datos del material, longitud y perfil en las celdas AMARILLAS.</t>
  </si>
  <si>
    <t xml:space="preserve">PSI</t>
  </si>
  <si>
    <t xml:space="preserve">Módulo de elasticidad del acero en sistema imperial.</t>
  </si>
  <si>
    <t xml:space="preserve">Esfuerzo de fluencia. A36 steel = 36000 PSI.</t>
  </si>
  <si>
    <t xml:space="preserve">PASO 2: FACTORES K</t>
  </si>
  <si>
    <t xml:space="preserve">Condición de extremos</t>
  </si>
  <si>
    <t xml:space="preserve">   2.1 k1 (Articulado-Articulado)</t>
  </si>
  <si>
    <t xml:space="preserve">Ambos extremos con rotación libre.</t>
  </si>
  <si>
    <t xml:space="preserve">   2.2 k2 (Empotrado-Articulado)</t>
  </si>
  <si>
    <t xml:space="preserve">Un extremo fijo, otro con rotación libre.</t>
  </si>
  <si>
    <t xml:space="preserve">   2.3 k3 (Empotrado-Empotrado)</t>
  </si>
  <si>
    <t xml:space="preserve">Ambos extremos fijos. Máxima restricción.</t>
  </si>
  <si>
    <t xml:space="preserve">   2.4 k4 (Empotrado-Libre)</t>
  </si>
  <si>
    <t xml:space="preserve">Un extremo fijo, otro libre (voladizo). Peor caso.</t>
  </si>
  <si>
    <t xml:space="preserve">PASO 3: LONGITUD Y PERFIL</t>
  </si>
  <si>
    <t xml:space="preserve">   3.1 L (longitud)</t>
  </si>
  <si>
    <t xml:space="preserve">Longitud de la columna en metros.</t>
  </si>
  <si>
    <t xml:space="preserve">   3.2 L en pulgadas</t>
  </si>
  <si>
    <t xml:space="preserve">pulg</t>
  </si>
  <si>
    <t xml:space="preserve">Conversión: 1 m = 39.3701 pulgadas.</t>
  </si>
  <si>
    <t xml:space="preserve">   3.3 A (área perfil)</t>
  </si>
  <si>
    <t xml:space="preserve">pulg²</t>
  </si>
  <si>
    <t xml:space="preserve">Área de la sección W10x60 (tabla AISC).</t>
  </si>
  <si>
    <t xml:space="preserve">   3.4 Iy (inercia eje débil)</t>
  </si>
  <si>
    <t xml:space="preserve">pulg⁴</t>
  </si>
  <si>
    <t xml:space="preserve">Inercia eje y del W10x60. Eje débil gobierna pandeo.</t>
  </si>
  <si>
    <t xml:space="preserve">   3.5 ry (radio giro eje y)</t>
  </si>
  <si>
    <t xml:space="preserve">Radio de giro eje débil. ry = √(Iy/A).</t>
  </si>
  <si>
    <t xml:space="preserve">PASO 4: RESULTADOS POR CONDICIÓN DE APOYO</t>
  </si>
  <si>
    <t xml:space="preserve">Condición</t>
  </si>
  <si>
    <t xml:space="preserve">k</t>
  </si>
  <si>
    <t xml:space="preserve">Le(pulg)</t>
  </si>
  <si>
    <t xml:space="preserve">kL/ry</t>
  </si>
  <si>
    <t xml:space="preserve">Pcr(Lb)</t>
  </si>
  <si>
    <t xml:space="preserve">σcr(PSI)</t>
  </si>
  <si>
    <t xml:space="preserve">Cc</t>
  </si>
  <si>
    <t xml:space="preserve">Tipo</t>
  </si>
  <si>
    <t xml:space="preserve">σa NSR(PSI)</t>
  </si>
  <si>
    <t xml:space="preserve">P_adm(Lb)</t>
  </si>
  <si>
    <t xml:space="preserve">   4.1 Art-Art</t>
  </si>
  <si>
    <t xml:space="preserve">   4.2 Emp-Art</t>
  </si>
  <si>
    <t xml:space="preserve">   4.3 Emp-Emp</t>
  </si>
  <si>
    <t xml:space="preserve">   4.4 Emp-Libre</t>
  </si>
</sst>
</file>

<file path=xl/styles.xml><?xml version="1.0" encoding="utf-8"?>
<styleSheet xmlns="http://schemas.openxmlformats.org/spreadsheetml/2006/main">
  <fonts count="12">
    <font>
      <sz val="11"/>
      <name val="Calibri"/>
      <color rgb="FF2C3E50"/>
    </font>
    <font>
      <b/>
      <sz val="16"/>
      <name val="Calibri"/>
      <color rgb="FF1B3A5C"/>
    </font>
    <font>
      <b/>
      <sz val="12"/>
      <name val="Calibri"/>
      <color rgb="FFFFFFFF"/>
    </font>
    <font>
      <sz val="11"/>
      <name val="Calibri"/>
      <color rgb="FF2C3E50"/>
    </font>
    <font>
      <b/>
      <sz val="11"/>
      <name val="Calibri"/>
      <color rgb="FF2C3E50"/>
    </font>
    <font>
      <b/>
      <sz val="12"/>
      <name val="Calibri"/>
      <color rgb="FFFFFFFF"/>
    </font>
    <font>
      <b/>
      <sz val="11"/>
      <name val="Calibri"/>
      <color rgb="FF1D6B3A"/>
    </font>
    <font>
      <i/>
      <sz val="10"/>
      <name val="Calibri"/>
      <color rgb="FFE67E22"/>
    </font>
    <font>
      <b/>
      <sz val="11"/>
      <name val="Calibri"/>
      <color rgb="FF2E5A88"/>
    </font>
    <font>
      <i/>
      <sz val="10"/>
      <name val="Calibri"/>
      <color rgb="FF7F8C8D"/>
    </font>
    <font>
      <sz val="10"/>
      <name val="Calibri"/>
      <color rgb="FF7F8C8D"/>
    </font>
    <font>
      <b/>
      <sz val="14"/>
      <name val="Calibri"/>
      <color rgb="FF1D6B3A"/>
    </font>
  </fonts>
  <fills count="11">
    <fill>
      <patternFill patternType="none"/>
    </fill>
    <fill>
      <patternFill patternType="gray125"/>
    </fill>
    <fill>
      <patternFill patternType="solid">
        <fgColor rgb="FFD6E8F7"/>
      </patternFill>
    </fill>
    <fill>
      <patternFill patternType="solid">
        <fgColor rgb="FFD4EDDA"/>
      </patternFill>
    </fill>
    <fill>
      <patternFill patternType="solid">
        <fgColor rgb="FF1B3A5C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1D6B3A"/>
      </patternFill>
    </fill>
    <fill>
      <patternFill patternType="solid">
        <fgColor rgb="FF2E5A8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2" borderId="1" xfId="0" applyFont="1" applyFill="1" applyBorder="1"/>
    <xf numFmtId="0" fontId="4" fillId="6" borderId="1" xfId="0" applyFont="1" applyFill="1" applyBorder="1"/>
    <xf numFmtId="0" fontId="5" fillId="9" borderId="0" xfId="0" applyFont="1" applyFill="1"/>
    <xf numFmtId="0" fontId="6" fillId="3" borderId="1" xfId="0" applyFont="1" applyFill="1" applyBorder="1"/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10" borderId="1" xfId="0" applyFont="1" applyFill="1" applyBorder="1"/>
    <xf numFmtId="0" fontId="0" fillId="0" borderId="1" xfId="0" applyBorder="1"/>
    <xf numFmtId="0" fontId="11" fillId="3" borderId="4" xfId="0" applyFont="1" applyFill="1" applyBorder="1"/>
    <xf numFmtId="0" fontId="8" fillId="0" borderId="2" xfId="0" applyFont="1" applyBorder="1"/>
    <xf numFmtId="0" fontId="7" fillId="6" borderId="1" xfId="0" applyFont="1" applyFill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8" customWidth="1"/>
    <col min="3" max="3" width="10" customWidth="1"/>
    <col min="4" max="4" width="55" customWidth="1"/>
    <col min="5" max="5" width="18" customWidth="1"/>
  </cols>
  <sheetData>
    <row r="1">
      <c r="A1" s="1" t="s">
        <v>0</v>
      </c>
    </row>
    <row r="2">
      <c r="A2" s="14" t="s">
        <v>1</v>
      </c>
    </row>
    <row r="3">
      <c r="A3" s="7" t="s">
        <v>2</v>
      </c>
    </row>
    <row r="4">
      <c r="A4" s="9" t="s">
        <v>3</v>
      </c>
    </row>
    <row r="6" ht="22" customHeight="1">
      <c r="A6" s="2" t="s">
        <v>4</v>
      </c>
      <c r="B6" s="2"/>
      <c r="C6" s="2"/>
      <c r="D6" s="2" t="s">
        <v>5</v>
      </c>
      <c r="E6" s="2"/>
    </row>
    <row r="7">
      <c r="A7" s="8" t="s">
        <v>6</v>
      </c>
      <c r="D7" s="8" t="s">
        <v>7</v>
      </c>
    </row>
    <row r="8">
      <c r="A8" s="3" t="s">
        <v>8</v>
      </c>
      <c r="B8" s="4">
        <v>0.05</v>
      </c>
      <c r="C8" s="10" t="s">
        <v>9</v>
      </c>
      <c r="D8" s="9" t="s">
        <v>10</v>
      </c>
      <c r="E8" s="8" t="s">
        <v>11</v>
      </c>
    </row>
    <row r="9">
      <c r="E9" s="8" t="s">
        <v>12</v>
      </c>
    </row>
    <row r="10">
      <c r="A10" s="5" t="s">
        <v>13</v>
      </c>
      <c r="B10" s="5"/>
      <c r="C10" s="5"/>
      <c r="D10" s="5"/>
    </row>
    <row r="11">
      <c r="A11" s="3" t="s">
        <v>14</v>
      </c>
      <c r="B11" s="6">
        <f>2*B8</f>
      </c>
      <c r="C11" s="10" t="s">
        <v>9</v>
      </c>
      <c r="D11" s="9" t="s">
        <v>15</v>
      </c>
    </row>
    <row r="12">
      <c r="A12" s="3" t="s">
        <v>16</v>
      </c>
      <c r="B12" s="6">
        <f>PI()*B8^2</f>
      </c>
      <c r="C12" s="10" t="s">
        <v>17</v>
      </c>
      <c r="D12" s="9" t="s">
        <v>18</v>
      </c>
    </row>
    <row r="13">
      <c r="A13" s="3" t="s">
        <v>19</v>
      </c>
      <c r="B13" s="6">
        <f>PI()*B8^4/4</f>
      </c>
      <c r="C13" s="10" t="s">
        <v>20</v>
      </c>
      <c r="D13" s="9" t="s">
        <v>21</v>
      </c>
    </row>
    <row r="14">
      <c r="A14" s="3" t="s">
        <v>22</v>
      </c>
      <c r="B14" s="6">
        <f>PI()*B8^3/4</f>
      </c>
      <c r="C14" s="10" t="s">
        <v>23</v>
      </c>
      <c r="D14" s="9" t="s">
        <v>24</v>
      </c>
    </row>
    <row r="15">
      <c r="A15" s="3" t="s">
        <v>25</v>
      </c>
      <c r="B15" s="6">
        <f>B8/2</f>
      </c>
      <c r="C15" s="10" t="s">
        <v>9</v>
      </c>
      <c r="D15" s="9" t="s">
        <v>26</v>
      </c>
    </row>
    <row r="17">
      <c r="A17" s="2" t="s">
        <v>27</v>
      </c>
      <c r="B17" s="2"/>
      <c r="C17" s="2"/>
      <c r="D17" s="2" t="s">
        <v>5</v>
      </c>
      <c r="E17" s="2"/>
    </row>
    <row r="18">
      <c r="A18" s="8" t="s">
        <v>6</v>
      </c>
    </row>
    <row r="19">
      <c r="A19" s="3" t="s">
        <v>28</v>
      </c>
      <c r="B19" s="4">
        <v>0.075</v>
      </c>
      <c r="C19" s="10" t="s">
        <v>9</v>
      </c>
      <c r="D19" s="9" t="s">
        <v>29</v>
      </c>
      <c r="E19" s="8" t="s">
        <v>30</v>
      </c>
    </row>
    <row r="20">
      <c r="A20" s="3" t="s">
        <v>31</v>
      </c>
      <c r="B20" s="4">
        <v>0.065</v>
      </c>
      <c r="C20" s="10" t="s">
        <v>9</v>
      </c>
      <c r="D20" s="9" t="s">
        <v>32</v>
      </c>
      <c r="E20" s="8" t="s">
        <v>33</v>
      </c>
    </row>
    <row r="22">
      <c r="A22" s="5" t="s">
        <v>13</v>
      </c>
      <c r="B22" s="5"/>
      <c r="C22" s="5"/>
      <c r="D22" s="5"/>
    </row>
    <row r="23">
      <c r="A23" s="3" t="s">
        <v>34</v>
      </c>
      <c r="B23" s="6">
        <f>PI()*(B19^2-B20^2)</f>
      </c>
      <c r="C23" s="10" t="s">
        <v>17</v>
      </c>
      <c r="D23" s="9" t="s">
        <v>35</v>
      </c>
    </row>
    <row r="24">
      <c r="A24" s="3" t="s">
        <v>36</v>
      </c>
      <c r="B24" s="6">
        <f>PI()*(B19^4-B20^4)/4</f>
      </c>
      <c r="C24" s="10" t="s">
        <v>20</v>
      </c>
      <c r="D24" s="9" t="s">
        <v>37</v>
      </c>
    </row>
    <row r="25">
      <c r="A25" s="3" t="s">
        <v>38</v>
      </c>
      <c r="B25" s="6">
        <f>(PI()*(B19^4-B20^4)/4)/B19</f>
      </c>
      <c r="C25" s="10" t="s">
        <v>23</v>
      </c>
      <c r="D25" s="9" t="s">
        <v>39</v>
      </c>
    </row>
    <row r="26">
      <c r="A26" s="3" t="s">
        <v>40</v>
      </c>
      <c r="B26" s="6">
        <f>SQRT((PI()*(B19^4-B20^4)/4)/(PI()*(B19^2-B20^2)))</f>
      </c>
      <c r="C26" s="10" t="s">
        <v>9</v>
      </c>
      <c r="D26" s="9" t="s">
        <v>41</v>
      </c>
    </row>
    <row r="28">
      <c r="A28" s="2" t="s">
        <v>42</v>
      </c>
      <c r="B28" s="2"/>
      <c r="C28" s="2"/>
      <c r="D28" s="2" t="s">
        <v>5</v>
      </c>
      <c r="E28" s="2"/>
    </row>
    <row r="29">
      <c r="A29" s="8" t="s">
        <v>6</v>
      </c>
    </row>
    <row r="30">
      <c r="A30" s="3" t="s">
        <v>43</v>
      </c>
      <c r="B30" s="4">
        <v>0.1</v>
      </c>
      <c r="C30" s="10" t="s">
        <v>9</v>
      </c>
      <c r="D30" s="9" t="s">
        <v>44</v>
      </c>
      <c r="E30" s="8" t="s">
        <v>45</v>
      </c>
    </row>
    <row r="31">
      <c r="E31" s="8" t="s">
        <v>46</v>
      </c>
    </row>
    <row r="32">
      <c r="A32" s="5" t="s">
        <v>13</v>
      </c>
      <c r="B32" s="5"/>
      <c r="C32" s="5"/>
      <c r="D32" s="5"/>
    </row>
    <row r="33">
      <c r="A33" s="3" t="s">
        <v>47</v>
      </c>
      <c r="B33" s="6">
        <f>B30^2</f>
      </c>
      <c r="C33" s="10" t="s">
        <v>17</v>
      </c>
      <c r="D33" s="9" t="s">
        <v>48</v>
      </c>
    </row>
    <row r="34">
      <c r="A34" s="3" t="s">
        <v>49</v>
      </c>
      <c r="B34" s="6">
        <f>B30^4/12</f>
      </c>
      <c r="C34" s="10" t="s">
        <v>20</v>
      </c>
      <c r="D34" s="9" t="s">
        <v>50</v>
      </c>
    </row>
    <row r="35">
      <c r="A35" s="3" t="s">
        <v>51</v>
      </c>
      <c r="B35" s="6">
        <f>B30^3/6</f>
      </c>
      <c r="C35" s="10" t="s">
        <v>23</v>
      </c>
      <c r="D35" s="9" t="s">
        <v>52</v>
      </c>
    </row>
    <row r="36">
      <c r="A36" s="3" t="s">
        <v>53</v>
      </c>
      <c r="B36" s="6">
        <f>B30/SQRT(12)</f>
      </c>
      <c r="C36" s="10" t="s">
        <v>9</v>
      </c>
      <c r="D36" s="9" t="s">
        <v>54</v>
      </c>
    </row>
    <row r="38">
      <c r="A38" s="2" t="s">
        <v>55</v>
      </c>
      <c r="B38" s="2"/>
      <c r="C38" s="2"/>
      <c r="D38" s="2" t="s">
        <v>5</v>
      </c>
      <c r="E38" s="2"/>
    </row>
    <row r="39">
      <c r="A39" s="8" t="s">
        <v>6</v>
      </c>
    </row>
    <row r="40">
      <c r="A40" s="3" t="s">
        <v>56</v>
      </c>
      <c r="B40" s="4">
        <v>0.12</v>
      </c>
      <c r="C40" s="10" t="s">
        <v>9</v>
      </c>
      <c r="D40" s="9" t="s">
        <v>57</v>
      </c>
      <c r="E40" s="8" t="s">
        <v>58</v>
      </c>
    </row>
    <row r="41">
      <c r="A41" s="3" t="s">
        <v>59</v>
      </c>
      <c r="B41" s="4">
        <v>0.1</v>
      </c>
      <c r="C41" s="10" t="s">
        <v>9</v>
      </c>
      <c r="D41" s="9" t="s">
        <v>60</v>
      </c>
      <c r="E41" s="8" t="s">
        <v>61</v>
      </c>
    </row>
    <row r="43">
      <c r="A43" s="5" t="s">
        <v>13</v>
      </c>
      <c r="B43" s="5"/>
      <c r="C43" s="5"/>
      <c r="D43" s="5"/>
    </row>
    <row r="44">
      <c r="A44" s="3" t="s">
        <v>62</v>
      </c>
      <c r="B44" s="6">
        <f>B40^2-B41^2</f>
      </c>
      <c r="C44" s="10" t="s">
        <v>17</v>
      </c>
      <c r="D44" s="9" t="s">
        <v>63</v>
      </c>
    </row>
    <row r="45">
      <c r="A45" s="3" t="s">
        <v>64</v>
      </c>
      <c r="B45" s="6">
        <f>(B40^4-B41^4)/12</f>
      </c>
      <c r="C45" s="10" t="s">
        <v>20</v>
      </c>
      <c r="D45" s="9" t="s">
        <v>65</v>
      </c>
    </row>
    <row r="46">
      <c r="A46" s="3" t="s">
        <v>66</v>
      </c>
      <c r="B46" s="6">
        <f>((B40^4-B41^4)/12)/(B40/2)</f>
      </c>
      <c r="C46" s="10" t="s">
        <v>23</v>
      </c>
      <c r="D46" s="9" t="s">
        <v>67</v>
      </c>
    </row>
    <row r="47">
      <c r="A47" s="3" t="s">
        <v>40</v>
      </c>
      <c r="B47" s="6">
        <f>SQRT(((B40^4-B41^4)/12)/(B40^2-B41^2))</f>
      </c>
      <c r="C47" s="10" t="s">
        <v>9</v>
      </c>
      <c r="D47" s="9" t="s">
        <v>68</v>
      </c>
    </row>
    <row r="49">
      <c r="A49" s="2" t="s">
        <v>69</v>
      </c>
      <c r="B49" s="2"/>
      <c r="C49" s="2"/>
      <c r="D49" s="2" t="s">
        <v>5</v>
      </c>
      <c r="E49" s="2"/>
    </row>
    <row r="50">
      <c r="A50" s="8" t="s">
        <v>6</v>
      </c>
    </row>
    <row r="51">
      <c r="A51" s="3" t="s">
        <v>70</v>
      </c>
      <c r="B51" s="4">
        <v>0.08</v>
      </c>
      <c r="C51" s="10" t="s">
        <v>9</v>
      </c>
      <c r="D51" s="9" t="s">
        <v>71</v>
      </c>
      <c r="E51" s="8" t="s">
        <v>72</v>
      </c>
    </row>
    <row r="52">
      <c r="A52" s="3" t="s">
        <v>73</v>
      </c>
      <c r="B52" s="4">
        <v>0.15</v>
      </c>
      <c r="C52" s="10" t="s">
        <v>9</v>
      </c>
      <c r="D52" s="9" t="s">
        <v>74</v>
      </c>
      <c r="E52" s="8" t="s">
        <v>75</v>
      </c>
    </row>
    <row r="54">
      <c r="A54" s="5" t="s">
        <v>13</v>
      </c>
      <c r="B54" s="5"/>
      <c r="C54" s="5"/>
      <c r="D54" s="5"/>
    </row>
    <row r="55">
      <c r="A55" s="3" t="s">
        <v>76</v>
      </c>
      <c r="B55" s="6">
        <f>B51*B52</f>
      </c>
      <c r="C55" s="10" t="s">
        <v>17</v>
      </c>
      <c r="D55" s="9" t="s">
        <v>77</v>
      </c>
    </row>
    <row r="56">
      <c r="A56" s="3" t="s">
        <v>78</v>
      </c>
      <c r="B56" s="6">
        <f>B51*B52^3/12</f>
      </c>
      <c r="C56" s="10" t="s">
        <v>20</v>
      </c>
      <c r="D56" s="9" t="s">
        <v>79</v>
      </c>
    </row>
    <row r="57">
      <c r="A57" s="3" t="s">
        <v>80</v>
      </c>
      <c r="B57" s="6">
        <f>B52*B51^3/12</f>
      </c>
      <c r="C57" s="10" t="s">
        <v>20</v>
      </c>
      <c r="D57" s="9" t="s">
        <v>81</v>
      </c>
    </row>
    <row r="58">
      <c r="A58" s="3" t="s">
        <v>82</v>
      </c>
      <c r="B58" s="6">
        <f>B51*B52^2/6</f>
      </c>
      <c r="C58" s="10" t="s">
        <v>23</v>
      </c>
      <c r="D58" s="9" t="s">
        <v>83</v>
      </c>
    </row>
    <row r="59">
      <c r="A59" s="3" t="s">
        <v>84</v>
      </c>
      <c r="B59" s="6">
        <f>B52*B51^2/6</f>
      </c>
      <c r="C59" s="10" t="s">
        <v>23</v>
      </c>
      <c r="D59" s="9" t="s">
        <v>85</v>
      </c>
    </row>
    <row r="60">
      <c r="A60" s="3" t="s">
        <v>86</v>
      </c>
      <c r="B60" s="6">
        <f>B52/SQRT(12)</f>
      </c>
      <c r="C60" s="10" t="s">
        <v>9</v>
      </c>
      <c r="D60" s="9" t="s">
        <v>87</v>
      </c>
    </row>
    <row r="61">
      <c r="A61" s="3" t="s">
        <v>88</v>
      </c>
      <c r="B61" s="6">
        <f>B51/SQRT(12)</f>
      </c>
      <c r="C61" s="10" t="s">
        <v>9</v>
      </c>
      <c r="D61" s="9" t="s">
        <v>89</v>
      </c>
    </row>
    <row r="63">
      <c r="A63" s="2" t="s">
        <v>90</v>
      </c>
      <c r="B63" s="2"/>
      <c r="C63" s="2"/>
      <c r="D63" s="2" t="s">
        <v>5</v>
      </c>
      <c r="E63" s="2"/>
    </row>
    <row r="64">
      <c r="A64" s="8" t="s">
        <v>6</v>
      </c>
    </row>
    <row r="65">
      <c r="A65" s="3" t="s">
        <v>91</v>
      </c>
      <c r="B65" s="4">
        <v>0.12</v>
      </c>
      <c r="C65" s="10" t="s">
        <v>9</v>
      </c>
      <c r="D65" s="9" t="s">
        <v>92</v>
      </c>
      <c r="E65" s="8" t="s">
        <v>93</v>
      </c>
    </row>
    <row r="66">
      <c r="A66" s="3" t="s">
        <v>94</v>
      </c>
      <c r="B66" s="4">
        <v>0.2</v>
      </c>
      <c r="C66" s="10" t="s">
        <v>9</v>
      </c>
      <c r="D66" s="9" t="s">
        <v>95</v>
      </c>
      <c r="E66" s="8" t="s">
        <v>96</v>
      </c>
    </row>
    <row r="67">
      <c r="A67" s="3" t="s">
        <v>97</v>
      </c>
      <c r="B67" s="4">
        <v>0.1</v>
      </c>
      <c r="C67" s="10" t="s">
        <v>9</v>
      </c>
      <c r="D67" s="9" t="s">
        <v>98</v>
      </c>
    </row>
    <row r="68">
      <c r="A68" s="3" t="s">
        <v>99</v>
      </c>
      <c r="B68" s="4">
        <v>0.18</v>
      </c>
      <c r="C68" s="10" t="s">
        <v>9</v>
      </c>
      <c r="D68" s="9" t="s">
        <v>100</v>
      </c>
    </row>
    <row r="70">
      <c r="A70" s="5" t="s">
        <v>13</v>
      </c>
      <c r="B70" s="5"/>
      <c r="C70" s="5"/>
      <c r="D70" s="5"/>
    </row>
    <row r="71">
      <c r="A71" s="3" t="s">
        <v>101</v>
      </c>
      <c r="B71" s="6">
        <f>B65*B66-B67*B68</f>
      </c>
      <c r="C71" s="10" t="s">
        <v>17</v>
      </c>
      <c r="D71" s="9" t="s">
        <v>102</v>
      </c>
    </row>
    <row r="72">
      <c r="A72" s="3" t="s">
        <v>103</v>
      </c>
      <c r="B72" s="6">
        <f>(B65*B66^3-B67*B68^3)/12</f>
      </c>
      <c r="C72" s="10" t="s">
        <v>20</v>
      </c>
      <c r="D72" s="9" t="s">
        <v>104</v>
      </c>
    </row>
    <row r="73">
      <c r="A73" s="3" t="s">
        <v>105</v>
      </c>
      <c r="B73" s="6">
        <f>(B66*B65^3-B68*B67^3)/12</f>
      </c>
      <c r="C73" s="10" t="s">
        <v>20</v>
      </c>
      <c r="D73" s="9" t="s">
        <v>106</v>
      </c>
    </row>
    <row r="74">
      <c r="A74" s="3" t="s">
        <v>107</v>
      </c>
      <c r="B74" s="6">
        <f>((B65*B66^3-B67*B68^3)/12)/(B66/2)</f>
      </c>
      <c r="C74" s="10" t="s">
        <v>23</v>
      </c>
      <c r="D74" s="9" t="s">
        <v>108</v>
      </c>
    </row>
    <row r="75">
      <c r="A75" s="3" t="s">
        <v>109</v>
      </c>
      <c r="B75" s="6">
        <f>((B66*B65^3-B68*B67^3)/12)/(B65/2)</f>
      </c>
      <c r="C75" s="10" t="s">
        <v>23</v>
      </c>
      <c r="D75" s="9" t="s">
        <v>110</v>
      </c>
    </row>
    <row r="76">
      <c r="A76" s="3" t="s">
        <v>111</v>
      </c>
      <c r="B76" s="6">
        <f>SQRT(((B65*B66^3-B67*B68^3)/12)/(B65*B66-B67*B68))</f>
      </c>
      <c r="C76" s="10" t="s">
        <v>9</v>
      </c>
      <c r="D76" s="9" t="s">
        <v>112</v>
      </c>
    </row>
    <row r="77">
      <c r="A77" s="3" t="s">
        <v>113</v>
      </c>
      <c r="B77" s="6">
        <f>SQRT(((B66*B65^3-B68*B67^3)/12)/(B65*B66-B67*B68))</f>
      </c>
      <c r="C77" s="10" t="s">
        <v>9</v>
      </c>
      <c r="D77" s="9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5" customWidth="1"/>
    <col min="2" max="2" width="18" customWidth="1"/>
    <col min="3" max="3" width="10" customWidth="1"/>
    <col min="4" max="4" width="55" customWidth="1"/>
  </cols>
  <sheetData>
    <row r="1">
      <c r="A1" s="1" t="s">
        <v>115</v>
      </c>
    </row>
    <row r="2">
      <c r="A2" s="14" t="s">
        <v>1</v>
      </c>
    </row>
    <row r="3">
      <c r="A3" s="7" t="s">
        <v>116</v>
      </c>
    </row>
    <row r="5">
      <c r="A5" s="2" t="s">
        <v>117</v>
      </c>
      <c r="B5" s="2"/>
      <c r="C5" s="2"/>
      <c r="D5" s="2" t="s">
        <v>118</v>
      </c>
    </row>
    <row r="6">
      <c r="A6" s="3" t="s">
        <v>119</v>
      </c>
      <c r="B6" s="4">
        <v>200</v>
      </c>
      <c r="C6" s="10" t="s">
        <v>120</v>
      </c>
      <c r="D6" s="9" t="s">
        <v>121</v>
      </c>
    </row>
    <row r="7">
      <c r="A7" s="3" t="s">
        <v>122</v>
      </c>
      <c r="B7" s="4">
        <v>345</v>
      </c>
      <c r="C7" s="10" t="s">
        <v>123</v>
      </c>
      <c r="D7" s="9" t="s">
        <v>124</v>
      </c>
    </row>
    <row r="8">
      <c r="A8" s="3" t="s">
        <v>125</v>
      </c>
      <c r="B8" s="4">
        <v>0.0074</v>
      </c>
      <c r="C8" s="10" t="s">
        <v>17</v>
      </c>
      <c r="D8" s="9" t="s">
        <v>126</v>
      </c>
    </row>
    <row r="9">
      <c r="A9" s="3" t="s">
        <v>127</v>
      </c>
      <c r="B9" s="4">
        <v>8.73e-05</v>
      </c>
      <c r="C9" s="10" t="s">
        <v>20</v>
      </c>
      <c r="D9" s="9" t="s">
        <v>128</v>
      </c>
    </row>
    <row r="10">
      <c r="A10" s="3" t="s">
        <v>129</v>
      </c>
      <c r="B10" s="4">
        <v>1.88e-05</v>
      </c>
      <c r="C10" s="10" t="s">
        <v>20</v>
      </c>
      <c r="D10" s="9" t="s">
        <v>130</v>
      </c>
    </row>
    <row r="11">
      <c r="A11" s="3" t="s">
        <v>131</v>
      </c>
      <c r="B11" s="4">
        <v>12.0</v>
      </c>
      <c r="C11" s="10" t="s">
        <v>9</v>
      </c>
      <c r="D11" s="9" t="s">
        <v>132</v>
      </c>
    </row>
    <row r="12">
      <c r="A12" s="3" t="s">
        <v>133</v>
      </c>
      <c r="B12" s="4">
        <v>1.0</v>
      </c>
      <c r="C12" s="10" t="s">
        <v>134</v>
      </c>
      <c r="D12" s="9" t="s">
        <v>135</v>
      </c>
    </row>
    <row r="13">
      <c r="A13" s="3" t="s">
        <v>136</v>
      </c>
      <c r="B13" s="4">
        <v>12.0</v>
      </c>
      <c r="C13" s="10" t="s">
        <v>9</v>
      </c>
      <c r="D13" s="9" t="s">
        <v>137</v>
      </c>
    </row>
    <row r="14">
      <c r="A14" s="3" t="s">
        <v>138</v>
      </c>
      <c r="B14" s="4">
        <v>1.0</v>
      </c>
      <c r="C14" s="10" t="s">
        <v>134</v>
      </c>
      <c r="D14" s="9" t="s">
        <v>139</v>
      </c>
    </row>
    <row r="15">
      <c r="A15" s="3" t="s">
        <v>140</v>
      </c>
      <c r="B15" s="4">
        <v>6.0</v>
      </c>
      <c r="C15" s="10" t="s">
        <v>9</v>
      </c>
      <c r="D15" s="9" t="s">
        <v>141</v>
      </c>
    </row>
    <row r="16">
      <c r="A16" s="3" t="s">
        <v>142</v>
      </c>
      <c r="B16" s="4">
        <v>2.0</v>
      </c>
      <c r="C16" s="10" t="s">
        <v>134</v>
      </c>
      <c r="D16" s="9" t="s">
        <v>143</v>
      </c>
    </row>
    <row r="18">
      <c r="A18" s="2" t="s">
        <v>144</v>
      </c>
      <c r="B18" s="2"/>
      <c r="C18" s="2"/>
      <c r="D18" s="2" t="s">
        <v>145</v>
      </c>
    </row>
    <row r="19">
      <c r="A19" s="3" t="s">
        <v>146</v>
      </c>
      <c r="B19" s="6">
        <f>B6*1E9</f>
      </c>
      <c r="C19" s="10" t="s">
        <v>147</v>
      </c>
      <c r="D19" s="9" t="s">
        <v>148</v>
      </c>
    </row>
    <row r="20">
      <c r="A20" s="3" t="s">
        <v>149</v>
      </c>
      <c r="B20" s="6">
        <f>B7*1E6</f>
      </c>
      <c r="C20" s="10" t="s">
        <v>147</v>
      </c>
      <c r="D20" s="9" t="s">
        <v>150</v>
      </c>
    </row>
    <row r="21">
      <c r="A21" s="3" t="s">
        <v>151</v>
      </c>
      <c r="B21" s="6">
        <f>B11*B12</f>
      </c>
      <c r="C21" s="10" t="s">
        <v>9</v>
      </c>
      <c r="D21" s="9" t="s">
        <v>152</v>
      </c>
    </row>
    <row r="22">
      <c r="A22" s="3" t="s">
        <v>153</v>
      </c>
      <c r="B22" s="6">
        <f>B13*B14</f>
      </c>
      <c r="C22" s="10" t="s">
        <v>9</v>
      </c>
      <c r="D22" s="9" t="s">
        <v>154</v>
      </c>
    </row>
    <row r="23">
      <c r="A23" s="3" t="s">
        <v>155</v>
      </c>
      <c r="B23" s="6">
        <f>PI()^2*B19*B9/(B21^2)</f>
      </c>
      <c r="C23" s="10" t="s">
        <v>156</v>
      </c>
      <c r="D23" s="9" t="s">
        <v>157</v>
      </c>
    </row>
    <row r="24">
      <c r="A24" s="3" t="s">
        <v>158</v>
      </c>
      <c r="B24" s="6">
        <f>PI()^2*B19*B10/(B22^2)</f>
      </c>
      <c r="C24" s="10" t="s">
        <v>156</v>
      </c>
      <c r="D24" s="9" t="s">
        <v>159</v>
      </c>
    </row>
    <row r="25">
      <c r="A25" s="3" t="s">
        <v>160</v>
      </c>
      <c r="B25" s="6">
        <f>IF(B23&lt;B24,"Eje x (fuerte)","Eje y (débil)")</f>
      </c>
      <c r="C25" s="10"/>
      <c r="D25" s="9" t="s">
        <v>161</v>
      </c>
    </row>
    <row r="26">
      <c r="A26" s="3" t="s">
        <v>162</v>
      </c>
      <c r="B26" s="6">
        <f>MIN(B23,B24)</f>
      </c>
      <c r="C26" s="10" t="s">
        <v>156</v>
      </c>
      <c r="D26" s="9" t="s">
        <v>163</v>
      </c>
    </row>
    <row r="28">
      <c r="A28" s="2" t="s">
        <v>164</v>
      </c>
      <c r="B28" s="2"/>
      <c r="C28" s="2"/>
      <c r="D28" s="2" t="s">
        <v>165</v>
      </c>
    </row>
    <row r="29">
      <c r="A29" s="3" t="s">
        <v>166</v>
      </c>
      <c r="B29" s="6">
        <f>B26/B8</f>
      </c>
      <c r="C29" s="10" t="s">
        <v>147</v>
      </c>
      <c r="D29" s="9" t="s">
        <v>167</v>
      </c>
    </row>
    <row r="30">
      <c r="A30" s="3" t="s">
        <v>168</v>
      </c>
      <c r="B30" s="6">
        <f>B29/1E6</f>
      </c>
      <c r="C30" s="10" t="s">
        <v>123</v>
      </c>
      <c r="D30" s="9" t="s">
        <v>169</v>
      </c>
    </row>
    <row r="31">
      <c r="A31" s="3" t="s">
        <v>170</v>
      </c>
      <c r="B31" s="6">
        <f>B20*B8</f>
      </c>
      <c r="C31" s="10" t="s">
        <v>156</v>
      </c>
      <c r="D31" s="9" t="s">
        <v>171</v>
      </c>
    </row>
    <row r="32">
      <c r="A32" s="3" t="s">
        <v>172</v>
      </c>
      <c r="B32" s="6">
        <f>IF(B30&lt;B7,"SI — Rige pandeo (Euler)","NO — Rige fluencia")</f>
      </c>
      <c r="C32" s="10"/>
      <c r="D32" s="9" t="s">
        <v>173</v>
      </c>
    </row>
    <row r="33">
      <c r="A33" s="3" t="s">
        <v>174</v>
      </c>
      <c r="B33" s="6">
        <f>IF(B30&lt;B7,B26,B31)</f>
      </c>
      <c r="C33" s="10" t="s">
        <v>156</v>
      </c>
      <c r="D33" s="9" t="s">
        <v>175</v>
      </c>
    </row>
    <row r="35">
      <c r="A35" s="2" t="s">
        <v>176</v>
      </c>
      <c r="B35" s="2"/>
      <c r="C35" s="2"/>
      <c r="D35" s="2"/>
    </row>
    <row r="36">
      <c r="A36" s="3" t="s">
        <v>177</v>
      </c>
      <c r="B36" s="6">
        <f>B33/B15</f>
      </c>
      <c r="C36" s="10" t="s">
        <v>156</v>
      </c>
      <c r="D36" s="9" t="s">
        <v>178</v>
      </c>
    </row>
    <row r="37">
      <c r="A37" s="3" t="s">
        <v>179</v>
      </c>
      <c r="B37" s="6">
        <f>B36/1000</f>
      </c>
      <c r="C37" s="10" t="s">
        <v>180</v>
      </c>
      <c r="D37" s="9" t="s">
        <v>181</v>
      </c>
    </row>
    <row r="39">
      <c r="A39" s="3" t="s">
        <v>182</v>
      </c>
      <c r="B39" s="13">
        <f>B37</f>
      </c>
      <c r="C39" s="6" t="s">
        <v>180</v>
      </c>
      <c r="D39" s="15" t="s">
        <v>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5" customWidth="1"/>
    <col min="2" max="2" width="35" customWidth="1"/>
    <col min="3" max="3" width="10" customWidth="1"/>
    <col min="4" max="4" width="10" customWidth="1"/>
    <col min="5" max="5" width="12" customWidth="1"/>
    <col min="6" max="6" width="14" customWidth="1"/>
    <col min="7" max="7" width="14" customWidth="1"/>
    <col min="8" max="8" width="6" customWidth="1"/>
    <col min="9" max="9" width="12" customWidth="1"/>
    <col min="10" max="10" width="6" customWidth="1"/>
    <col min="11" max="11" width="12" customWidth="1"/>
    <col min="12" max="12" width="10" customWidth="1"/>
    <col min="13" max="13" width="10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6" customWidth="1"/>
    <col min="21" max="21" width="6" customWidth="1"/>
    <col min="22" max="22" width="14" customWidth="1"/>
  </cols>
  <sheetData>
    <row r="1">
      <c r="A1" s="1" t="s">
        <v>184</v>
      </c>
    </row>
    <row r="2">
      <c r="A2" s="7" t="s">
        <v>185</v>
      </c>
    </row>
    <row r="3">
      <c r="A3" s="9" t="s">
        <v>186</v>
      </c>
    </row>
    <row r="4">
      <c r="A4" s="11" t="s">
        <v>187</v>
      </c>
      <c r="B4" s="11" t="s">
        <v>188</v>
      </c>
      <c r="C4" s="11" t="s">
        <v>189</v>
      </c>
      <c r="D4" s="11" t="s">
        <v>190</v>
      </c>
      <c r="E4" s="11" t="s">
        <v>191</v>
      </c>
      <c r="F4" s="11" t="s">
        <v>192</v>
      </c>
      <c r="G4" s="11" t="s">
        <v>193</v>
      </c>
      <c r="H4" s="11" t="s">
        <v>194</v>
      </c>
      <c r="I4" s="11" t="s">
        <v>195</v>
      </c>
      <c r="J4" s="11" t="s">
        <v>196</v>
      </c>
      <c r="K4" s="11" t="s">
        <v>197</v>
      </c>
      <c r="L4" s="11" t="s">
        <v>198</v>
      </c>
      <c r="M4" s="11" t="s">
        <v>199</v>
      </c>
      <c r="N4" s="11" t="s">
        <v>200</v>
      </c>
      <c r="O4" s="11" t="s">
        <v>201</v>
      </c>
      <c r="P4" s="11" t="s">
        <v>202</v>
      </c>
      <c r="Q4" s="11" t="s">
        <v>203</v>
      </c>
      <c r="R4" s="11" t="s">
        <v>204</v>
      </c>
      <c r="S4" s="11" t="s">
        <v>205</v>
      </c>
      <c r="T4" s="11" t="s">
        <v>206</v>
      </c>
      <c r="U4" s="11" t="s">
        <v>207</v>
      </c>
      <c r="V4" s="11" t="s">
        <v>208</v>
      </c>
    </row>
    <row r="5">
      <c r="A5" s="12">
        <v>1</v>
      </c>
      <c r="B5" s="12" t="s">
        <v>209</v>
      </c>
      <c r="C5" s="4">
        <v>200</v>
      </c>
      <c r="D5" s="4">
        <v>345</v>
      </c>
      <c r="E5" s="4">
        <v>0.0074</v>
      </c>
      <c r="F5" s="4">
        <v>8.73e-05</v>
      </c>
      <c r="G5" s="4">
        <v>1.88e-05</v>
      </c>
      <c r="H5" s="4">
        <v>1</v>
      </c>
      <c r="I5" s="4">
        <v>12</v>
      </c>
      <c r="J5" s="4">
        <v>1</v>
      </c>
      <c r="K5" s="4">
        <v>6</v>
      </c>
      <c r="L5" s="6">
        <f>IF(H5="","",H5*I5)</f>
      </c>
      <c r="M5" s="6">
        <f>IF(J5="","",J5*K5)</f>
      </c>
      <c r="N5" s="6">
        <f>IF(L5="","",PI()^2*(C5*1E9)*F5/L5^2)</f>
      </c>
      <c r="O5" s="6">
        <f>IF(M5="","",PI()^2*(C5*1E9)*G5/M5^2)</f>
      </c>
      <c r="P5" s="6">
        <f>IF(N5="","",IF(N5&lt;O5,"Eje x","Eje y"))</f>
      </c>
      <c r="Q5" s="6">
        <f>IF(N5="","",MIN(N5,O5)/1000)</f>
      </c>
      <c r="R5" s="6">
        <f>IF(Q5="","",Q5*1000/E5/1E6)</f>
      </c>
      <c r="S5" s="6">
        <f>IF(E5="","",(D5*1E6)*E5/1000)</f>
      </c>
      <c r="T5" s="6">
        <f>IF(Q5="","",IF(Q5&lt;S5,"Pandeo","Fluencia"))</f>
      </c>
      <c r="U5" s="4">
        <v>2.0</v>
      </c>
      <c r="V5" s="6">
        <f>IF(Q5="","",MIN(Q5,S5)/U5)</f>
      </c>
    </row>
    <row r="6">
      <c r="A6" s="12">
        <v>2</v>
      </c>
      <c r="B6" s="12"/>
      <c r="C6" s="4"/>
      <c r="D6" s="4"/>
      <c r="E6" s="4"/>
      <c r="F6" s="4"/>
      <c r="G6" s="4"/>
      <c r="H6" s="4"/>
      <c r="I6" s="4"/>
      <c r="J6" s="4"/>
      <c r="K6" s="4"/>
      <c r="L6" s="6">
        <f>IF(H6="","",H6*I6)</f>
      </c>
      <c r="M6" s="6">
        <f>IF(J6="","",J6*K6)</f>
      </c>
      <c r="N6" s="6">
        <f>IF(L6="","",PI()^2*(C6*1E9)*F6/L6^2)</f>
      </c>
      <c r="O6" s="6">
        <f>IF(M6="","",PI()^2*(C6*1E9)*G6/M6^2)</f>
      </c>
      <c r="P6" s="6">
        <f>IF(N6="","",IF(N6&lt;O6,"Eje x","Eje y"))</f>
      </c>
      <c r="Q6" s="6">
        <f>IF(N6="","",MIN(N6,O6)/1000)</f>
      </c>
      <c r="R6" s="6">
        <f>IF(Q6="","",Q6*1000/E6/1E6)</f>
      </c>
      <c r="S6" s="6">
        <f>IF(E6="","",(D6*1E6)*E6/1000)</f>
      </c>
      <c r="T6" s="6">
        <f>IF(Q6="","",IF(Q6&lt;S6,"Pandeo","Fluencia"))</f>
      </c>
      <c r="U6" s="4">
        <v>2.0</v>
      </c>
      <c r="V6" s="6">
        <f>IF(Q6="","",MIN(Q6,S6)/U6)</f>
      </c>
    </row>
    <row r="7">
      <c r="A7" s="12">
        <v>3</v>
      </c>
      <c r="B7" s="12"/>
      <c r="C7" s="4"/>
      <c r="D7" s="4"/>
      <c r="E7" s="4"/>
      <c r="F7" s="4"/>
      <c r="G7" s="4"/>
      <c r="H7" s="4"/>
      <c r="I7" s="4"/>
      <c r="J7" s="4"/>
      <c r="K7" s="4"/>
      <c r="L7" s="6">
        <f>IF(H7="","",H7*I7)</f>
      </c>
      <c r="M7" s="6">
        <f>IF(J7="","",J7*K7)</f>
      </c>
      <c r="N7" s="6">
        <f>IF(L7="","",PI()^2*(C7*1E9)*F7/L7^2)</f>
      </c>
      <c r="O7" s="6">
        <f>IF(M7="","",PI()^2*(C7*1E9)*G7/M7^2)</f>
      </c>
      <c r="P7" s="6">
        <f>IF(N7="","",IF(N7&lt;O7,"Eje x","Eje y"))</f>
      </c>
      <c r="Q7" s="6">
        <f>IF(N7="","",MIN(N7,O7)/1000)</f>
      </c>
      <c r="R7" s="6">
        <f>IF(Q7="","",Q7*1000/E7/1E6)</f>
      </c>
      <c r="S7" s="6">
        <f>IF(E7="","",(D7*1E6)*E7/1000)</f>
      </c>
      <c r="T7" s="6">
        <f>IF(Q7="","",IF(Q7&lt;S7,"Pandeo","Fluencia"))</f>
      </c>
      <c r="U7" s="4">
        <v>2.0</v>
      </c>
      <c r="V7" s="6">
        <f>IF(Q7="","",MIN(Q7,S7)/U7)</f>
      </c>
    </row>
    <row r="8">
      <c r="A8" s="12">
        <v>4</v>
      </c>
      <c r="B8" s="12"/>
      <c r="C8" s="4"/>
      <c r="D8" s="4"/>
      <c r="E8" s="4"/>
      <c r="F8" s="4"/>
      <c r="G8" s="4"/>
      <c r="H8" s="4"/>
      <c r="I8" s="4"/>
      <c r="J8" s="4"/>
      <c r="K8" s="4"/>
      <c r="L8" s="6">
        <f>IF(H8="","",H8*I8)</f>
      </c>
      <c r="M8" s="6">
        <f>IF(J8="","",J8*K8)</f>
      </c>
      <c r="N8" s="6">
        <f>IF(L8="","",PI()^2*(C8*1E9)*F8/L8^2)</f>
      </c>
      <c r="O8" s="6">
        <f>IF(M8="","",PI()^2*(C8*1E9)*G8/M8^2)</f>
      </c>
      <c r="P8" s="6">
        <f>IF(N8="","",IF(N8&lt;O8,"Eje x","Eje y"))</f>
      </c>
      <c r="Q8" s="6">
        <f>IF(N8="","",MIN(N8,O8)/1000)</f>
      </c>
      <c r="R8" s="6">
        <f>IF(Q8="","",Q8*1000/E8/1E6)</f>
      </c>
      <c r="S8" s="6">
        <f>IF(E8="","",(D8*1E6)*E8/1000)</f>
      </c>
      <c r="T8" s="6">
        <f>IF(Q8="","",IF(Q8&lt;S8,"Pandeo","Fluencia"))</f>
      </c>
      <c r="U8" s="4">
        <v>2.0</v>
      </c>
      <c r="V8" s="6">
        <f>IF(Q8="","",MIN(Q8,S8)/U8)</f>
      </c>
    </row>
    <row r="9">
      <c r="A9" s="12">
        <v>5</v>
      </c>
      <c r="B9" s="12"/>
      <c r="C9" s="4"/>
      <c r="D9" s="4"/>
      <c r="E9" s="4"/>
      <c r="F9" s="4"/>
      <c r="G9" s="4"/>
      <c r="H9" s="4"/>
      <c r="I9" s="4"/>
      <c r="J9" s="4"/>
      <c r="K9" s="4"/>
      <c r="L9" s="6">
        <f>IF(H9="","",H9*I9)</f>
      </c>
      <c r="M9" s="6">
        <f>IF(J9="","",J9*K9)</f>
      </c>
      <c r="N9" s="6">
        <f>IF(L9="","",PI()^2*(C9*1E9)*F9/L9^2)</f>
      </c>
      <c r="O9" s="6">
        <f>IF(M9="","",PI()^2*(C9*1E9)*G9/M9^2)</f>
      </c>
      <c r="P9" s="6">
        <f>IF(N9="","",IF(N9&lt;O9,"Eje x","Eje y"))</f>
      </c>
      <c r="Q9" s="6">
        <f>IF(N9="","",MIN(N9,O9)/1000)</f>
      </c>
      <c r="R9" s="6">
        <f>IF(Q9="","",Q9*1000/E9/1E6)</f>
      </c>
      <c r="S9" s="6">
        <f>IF(E9="","",(D9*1E6)*E9/1000)</f>
      </c>
      <c r="T9" s="6">
        <f>IF(Q9="","",IF(Q9&lt;S9,"Pandeo","Fluencia"))</f>
      </c>
      <c r="U9" s="4">
        <v>2.0</v>
      </c>
      <c r="V9" s="6">
        <f>IF(Q9="","",MIN(Q9,S9)/U9)</f>
      </c>
    </row>
    <row r="10">
      <c r="A10" s="12">
        <v>6</v>
      </c>
      <c r="B10" s="12"/>
      <c r="C10" s="4"/>
      <c r="D10" s="4"/>
      <c r="E10" s="4"/>
      <c r="F10" s="4"/>
      <c r="G10" s="4"/>
      <c r="H10" s="4"/>
      <c r="I10" s="4"/>
      <c r="J10" s="4"/>
      <c r="K10" s="4"/>
      <c r="L10" s="6">
        <f>IF(H10="","",H10*I10)</f>
      </c>
      <c r="M10" s="6">
        <f>IF(J10="","",J10*K10)</f>
      </c>
      <c r="N10" s="6">
        <f>IF(L10="","",PI()^2*(C10*1E9)*F10/L10^2)</f>
      </c>
      <c r="O10" s="6">
        <f>IF(M10="","",PI()^2*(C10*1E9)*G10/M10^2)</f>
      </c>
      <c r="P10" s="6">
        <f>IF(N10="","",IF(N10&lt;O10,"Eje x","Eje y"))</f>
      </c>
      <c r="Q10" s="6">
        <f>IF(N10="","",MIN(N10,O10)/1000)</f>
      </c>
      <c r="R10" s="6">
        <f>IF(Q10="","",Q10*1000/E10/1E6)</f>
      </c>
      <c r="S10" s="6">
        <f>IF(E10="","",(D10*1E6)*E10/1000)</f>
      </c>
      <c r="T10" s="6">
        <f>IF(Q10="","",IF(Q10&lt;S10,"Pandeo","Fluencia"))</f>
      </c>
      <c r="U10" s="4">
        <v>2.0</v>
      </c>
      <c r="V10" s="6">
        <f>IF(Q10="","",MIN(Q10,S10)/U10)</f>
      </c>
    </row>
    <row r="11">
      <c r="A11" s="12">
        <v>7</v>
      </c>
      <c r="B11" s="12"/>
      <c r="C11" s="4"/>
      <c r="D11" s="4"/>
      <c r="E11" s="4"/>
      <c r="F11" s="4"/>
      <c r="G11" s="4"/>
      <c r="H11" s="4"/>
      <c r="I11" s="4"/>
      <c r="J11" s="4"/>
      <c r="K11" s="4"/>
      <c r="L11" s="6">
        <f>IF(H11="","",H11*I11)</f>
      </c>
      <c r="M11" s="6">
        <f>IF(J11="","",J11*K11)</f>
      </c>
      <c r="N11" s="6">
        <f>IF(L11="","",PI()^2*(C11*1E9)*F11/L11^2)</f>
      </c>
      <c r="O11" s="6">
        <f>IF(M11="","",PI()^2*(C11*1E9)*G11/M11^2)</f>
      </c>
      <c r="P11" s="6">
        <f>IF(N11="","",IF(N11&lt;O11,"Eje x","Eje y"))</f>
      </c>
      <c r="Q11" s="6">
        <f>IF(N11="","",MIN(N11,O11)/1000)</f>
      </c>
      <c r="R11" s="6">
        <f>IF(Q11="","",Q11*1000/E11/1E6)</f>
      </c>
      <c r="S11" s="6">
        <f>IF(E11="","",(D11*1E6)*E11/1000)</f>
      </c>
      <c r="T11" s="6">
        <f>IF(Q11="","",IF(Q11&lt;S11,"Pandeo","Fluencia"))</f>
      </c>
      <c r="U11" s="4">
        <v>2.0</v>
      </c>
      <c r="V11" s="6">
        <f>IF(Q11="","",MIN(Q11,S11)/U11)</f>
      </c>
    </row>
    <row r="12">
      <c r="A12" s="12">
        <v>8</v>
      </c>
      <c r="B12" s="12"/>
      <c r="C12" s="4"/>
      <c r="D12" s="4"/>
      <c r="E12" s="4"/>
      <c r="F12" s="4"/>
      <c r="G12" s="4"/>
      <c r="H12" s="4"/>
      <c r="I12" s="4"/>
      <c r="J12" s="4"/>
      <c r="K12" s="4"/>
      <c r="L12" s="6">
        <f>IF(H12="","",H12*I12)</f>
      </c>
      <c r="M12" s="6">
        <f>IF(J12="","",J12*K12)</f>
      </c>
      <c r="N12" s="6">
        <f>IF(L12="","",PI()^2*(C12*1E9)*F12/L12^2)</f>
      </c>
      <c r="O12" s="6">
        <f>IF(M12="","",PI()^2*(C12*1E9)*G12/M12^2)</f>
      </c>
      <c r="P12" s="6">
        <f>IF(N12="","",IF(N12&lt;O12,"Eje x","Eje y"))</f>
      </c>
      <c r="Q12" s="6">
        <f>IF(N12="","",MIN(N12,O12)/1000)</f>
      </c>
      <c r="R12" s="6">
        <f>IF(Q12="","",Q12*1000/E12/1E6)</f>
      </c>
      <c r="S12" s="6">
        <f>IF(E12="","",(D12*1E6)*E12/1000)</f>
      </c>
      <c r="T12" s="6">
        <f>IF(Q12="","",IF(Q12&lt;S12,"Pandeo","Fluencia"))</f>
      </c>
      <c r="U12" s="4">
        <v>2.0</v>
      </c>
      <c r="V12" s="6">
        <f>IF(Q12="","",MIN(Q12,S12)/U12)</f>
      </c>
    </row>
    <row r="13">
      <c r="A13" s="12">
        <v>9</v>
      </c>
      <c r="B13" s="12"/>
      <c r="C13" s="4"/>
      <c r="D13" s="4"/>
      <c r="E13" s="4"/>
      <c r="F13" s="4"/>
      <c r="G13" s="4"/>
      <c r="H13" s="4"/>
      <c r="I13" s="4"/>
      <c r="J13" s="4"/>
      <c r="K13" s="4"/>
      <c r="L13" s="6">
        <f>IF(H13="","",H13*I13)</f>
      </c>
      <c r="M13" s="6">
        <f>IF(J13="","",J13*K13)</f>
      </c>
      <c r="N13" s="6">
        <f>IF(L13="","",PI()^2*(C13*1E9)*F13/L13^2)</f>
      </c>
      <c r="O13" s="6">
        <f>IF(M13="","",PI()^2*(C13*1E9)*G13/M13^2)</f>
      </c>
      <c r="P13" s="6">
        <f>IF(N13="","",IF(N13&lt;O13,"Eje x","Eje y"))</f>
      </c>
      <c r="Q13" s="6">
        <f>IF(N13="","",MIN(N13,O13)/1000)</f>
      </c>
      <c r="R13" s="6">
        <f>IF(Q13="","",Q13*1000/E13/1E6)</f>
      </c>
      <c r="S13" s="6">
        <f>IF(E13="","",(D13*1E6)*E13/1000)</f>
      </c>
      <c r="T13" s="6">
        <f>IF(Q13="","",IF(Q13&lt;S13,"Pandeo","Fluencia"))</f>
      </c>
      <c r="U13" s="4">
        <v>2.0</v>
      </c>
      <c r="V13" s="6">
        <f>IF(Q13="","",MIN(Q13,S13)/U13)</f>
      </c>
    </row>
    <row r="14">
      <c r="A14" s="12">
        <v>10</v>
      </c>
      <c r="B14" s="12"/>
      <c r="C14" s="4"/>
      <c r="D14" s="4"/>
      <c r="E14" s="4"/>
      <c r="F14" s="4"/>
      <c r="G14" s="4"/>
      <c r="H14" s="4"/>
      <c r="I14" s="4"/>
      <c r="J14" s="4"/>
      <c r="K14" s="4"/>
      <c r="L14" s="6">
        <f>IF(H14="","",H14*I14)</f>
      </c>
      <c r="M14" s="6">
        <f>IF(J14="","",J14*K14)</f>
      </c>
      <c r="N14" s="6">
        <f>IF(L14="","",PI()^2*(C14*1E9)*F14/L14^2)</f>
      </c>
      <c r="O14" s="6">
        <f>IF(M14="","",PI()^2*(C14*1E9)*G14/M14^2)</f>
      </c>
      <c r="P14" s="6">
        <f>IF(N14="","",IF(N14&lt;O14,"Eje x","Eje y"))</f>
      </c>
      <c r="Q14" s="6">
        <f>IF(N14="","",MIN(N14,O14)/1000)</f>
      </c>
      <c r="R14" s="6">
        <f>IF(Q14="","",Q14*1000/E14/1E6)</f>
      </c>
      <c r="S14" s="6">
        <f>IF(E14="","",(D14*1E6)*E14/1000)</f>
      </c>
      <c r="T14" s="6">
        <f>IF(Q14="","",IF(Q14&lt;S14,"Pandeo","Fluencia"))</f>
      </c>
      <c r="U14" s="4">
        <v>2.0</v>
      </c>
      <c r="V14" s="6">
        <f>IF(Q14="","",MIN(Q14,S14)/U14)</f>
      </c>
    </row>
    <row r="17">
      <c r="A17" s="8" t="s">
        <v>210</v>
      </c>
    </row>
    <row r="18">
      <c r="A18" s="15" t="s">
        <v>211</v>
      </c>
    </row>
    <row r="19">
      <c r="A19" s="6" t="s">
        <v>212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2" width="16" customWidth="1"/>
    <col min="3" max="3" width="8" customWidth="1"/>
    <col min="4" max="4" width="16" customWidth="1"/>
    <col min="5" max="5" width="8" customWidth="1"/>
    <col min="6" max="6" width="50" customWidth="1"/>
  </cols>
  <sheetData>
    <row r="1">
      <c r="A1" s="1" t="s">
        <v>213</v>
      </c>
    </row>
    <row r="2">
      <c r="A2" s="14" t="s">
        <v>214</v>
      </c>
    </row>
    <row r="3">
      <c r="A3" s="7" t="s">
        <v>215</v>
      </c>
    </row>
    <row r="5">
      <c r="A5" s="2" t="s">
        <v>216</v>
      </c>
      <c r="B5" s="2"/>
      <c r="C5" s="2"/>
      <c r="D5" s="2"/>
      <c r="E5" s="2"/>
      <c r="F5" s="2" t="s">
        <v>217</v>
      </c>
    </row>
    <row r="6">
      <c r="A6" s="3" t="s">
        <v>218</v>
      </c>
      <c r="B6" s="4">
        <v>200</v>
      </c>
      <c r="C6" s="10" t="s">
        <v>120</v>
      </c>
      <c r="D6" s="6">
        <f>B6*1E9</f>
      </c>
      <c r="E6" s="10" t="s">
        <v>147</v>
      </c>
      <c r="F6" s="9" t="s">
        <v>219</v>
      </c>
    </row>
    <row r="7">
      <c r="A7" s="3" t="s">
        <v>220</v>
      </c>
      <c r="B7" s="4">
        <v>250</v>
      </c>
      <c r="C7" s="10" t="s">
        <v>123</v>
      </c>
      <c r="D7" s="6">
        <f>B7*1E6</f>
      </c>
      <c r="E7" s="10" t="s">
        <v>147</v>
      </c>
      <c r="F7" s="9" t="s">
        <v>221</v>
      </c>
    </row>
    <row r="8">
      <c r="A8" s="3" t="s">
        <v>222</v>
      </c>
      <c r="B8" s="4">
        <v>2</v>
      </c>
      <c r="C8" s="10"/>
      <c r="F8" s="9" t="s">
        <v>223</v>
      </c>
    </row>
    <row r="10">
      <c r="A10" s="2" t="s">
        <v>224</v>
      </c>
      <c r="B10" s="2"/>
      <c r="C10" s="2"/>
      <c r="F10" s="2"/>
    </row>
    <row r="11">
      <c r="A11" s="3" t="s">
        <v>225</v>
      </c>
      <c r="B11" s="4">
        <v>2</v>
      </c>
      <c r="C11" s="10" t="s">
        <v>9</v>
      </c>
    </row>
    <row r="12">
      <c r="A12" s="3" t="s">
        <v>226</v>
      </c>
      <c r="B12" s="4">
        <v>2.5</v>
      </c>
      <c r="C12" s="10" t="s">
        <v>9</v>
      </c>
    </row>
    <row r="13">
      <c r="A13" s="3" t="s">
        <v>227</v>
      </c>
      <c r="B13" s="4">
        <v>3.5</v>
      </c>
      <c r="C13" s="10" t="s">
        <v>9</v>
      </c>
    </row>
    <row r="15">
      <c r="A15" s="2" t="s">
        <v>228</v>
      </c>
      <c r="B15" s="2"/>
      <c r="C15" s="2"/>
      <c r="F15" s="2"/>
    </row>
    <row r="16">
      <c r="A16" s="3" t="s">
        <v>229</v>
      </c>
      <c r="B16" s="4">
        <v>13</v>
      </c>
      <c r="C16" s="10" t="s">
        <v>230</v>
      </c>
      <c r="D16" s="6">
        <f>B16/100</f>
      </c>
      <c r="E16" s="10" t="s">
        <v>9</v>
      </c>
    </row>
    <row r="17">
      <c r="A17" s="3" t="s">
        <v>231</v>
      </c>
      <c r="B17" s="4">
        <v>15</v>
      </c>
      <c r="C17" s="10" t="s">
        <v>230</v>
      </c>
      <c r="D17" s="6">
        <f>B17/100</f>
      </c>
      <c r="E17" s="10" t="s">
        <v>9</v>
      </c>
    </row>
    <row r="19">
      <c r="A19" s="2" t="s">
        <v>232</v>
      </c>
      <c r="B19" s="2"/>
      <c r="C19" s="2"/>
      <c r="F19" s="2" t="s">
        <v>233</v>
      </c>
    </row>
    <row r="20">
      <c r="A20" s="3" t="s">
        <v>234</v>
      </c>
      <c r="B20" s="6">
        <f>PI()*(D17^4-D16^4)/64</f>
      </c>
      <c r="C20" s="10" t="s">
        <v>20</v>
      </c>
      <c r="F20" s="9" t="s">
        <v>235</v>
      </c>
    </row>
    <row r="21">
      <c r="A21" s="3" t="s">
        <v>236</v>
      </c>
      <c r="B21" s="6">
        <f>PI()*(D17^2-D16^2)/4</f>
      </c>
      <c r="C21" s="10" t="s">
        <v>17</v>
      </c>
      <c r="F21" s="9" t="s">
        <v>237</v>
      </c>
    </row>
    <row r="22">
      <c r="A22" s="3" t="s">
        <v>238</v>
      </c>
      <c r="B22" s="6">
        <f>SQRT(B20/B21)</f>
      </c>
      <c r="C22" s="10" t="s">
        <v>9</v>
      </c>
      <c r="F22" s="9" t="s">
        <v>239</v>
      </c>
    </row>
    <row r="23">
      <c r="A23" s="3" t="s">
        <v>240</v>
      </c>
      <c r="B23" s="6">
        <f>SQRT(2*PI()^2*D6/D7)</f>
      </c>
      <c r="C23" s="10"/>
      <c r="F23" s="9" t="s">
        <v>241</v>
      </c>
    </row>
    <row r="25">
      <c r="A25" s="2" t="s">
        <v>242</v>
      </c>
      <c r="B25" s="2"/>
      <c r="C25" s="2"/>
      <c r="D25" s="2" t="s">
        <v>243</v>
      </c>
      <c r="E25" s="2"/>
      <c r="F25" s="2" t="s">
        <v>244</v>
      </c>
    </row>
    <row r="26">
      <c r="A26" s="3" t="s">
        <v>245</v>
      </c>
      <c r="B26" s="6">
        <f>B8*B11</f>
      </c>
      <c r="C26" s="10" t="s">
        <v>9</v>
      </c>
      <c r="D26" s="6">
        <f>B8*B12</f>
      </c>
      <c r="E26" s="10" t="s">
        <v>9</v>
      </c>
      <c r="F26" s="6">
        <f>B8*B13</f>
      </c>
    </row>
    <row r="27">
      <c r="A27" s="3" t="s">
        <v>246</v>
      </c>
      <c r="B27" s="6">
        <f>B26/B22</f>
      </c>
      <c r="C27" s="10"/>
      <c r="D27" s="6">
        <f>D26/B22</f>
      </c>
      <c r="F27" s="6">
        <f>F26/B22</f>
      </c>
    </row>
    <row r="28">
      <c r="A28" s="3" t="s">
        <v>247</v>
      </c>
      <c r="B28" s="6">
        <f>PI()^2*D6*B20/B26^2</f>
      </c>
      <c r="C28" s="10" t="s">
        <v>156</v>
      </c>
      <c r="D28" s="6">
        <f>PI()^2*D6*B20/D26^2</f>
      </c>
      <c r="F28" s="6">
        <f>PI()^2*D6*B20/F26^2</f>
      </c>
    </row>
    <row r="29">
      <c r="A29" s="3" t="s">
        <v>248</v>
      </c>
      <c r="B29" s="13">
        <f>B28/1000</f>
      </c>
      <c r="C29" s="10" t="s">
        <v>180</v>
      </c>
      <c r="D29" s="13">
        <f>D28/1000</f>
      </c>
      <c r="F29" s="13">
        <f>F28/1000</f>
      </c>
    </row>
    <row r="30">
      <c r="A30" s="3" t="s">
        <v>249</v>
      </c>
      <c r="B30" s="6">
        <f>B28/B21/1E6</f>
      </c>
      <c r="C30" s="10" t="s">
        <v>123</v>
      </c>
      <c r="D30" s="6">
        <f>D28/B21/1E6</f>
      </c>
      <c r="F30" s="6">
        <f>F28/B21/1E6</f>
      </c>
    </row>
    <row r="32">
      <c r="A32" s="2" t="s">
        <v>250</v>
      </c>
      <c r="B32" s="2" t="s">
        <v>251</v>
      </c>
      <c r="C32" s="2"/>
      <c r="D32" s="2" t="s">
        <v>243</v>
      </c>
      <c r="E32" s="2"/>
      <c r="F32" s="2" t="s">
        <v>244</v>
      </c>
    </row>
    <row r="33">
      <c r="A33" s="3" t="s">
        <v>252</v>
      </c>
      <c r="B33" s="6">
        <f>B27</f>
      </c>
      <c r="D33" s="6">
        <f>D27</f>
      </c>
      <c r="F33" s="6">
        <f>F27</f>
      </c>
    </row>
    <row r="34">
      <c r="A34" s="3" t="s">
        <v>253</v>
      </c>
      <c r="B34" s="6">
        <f>IF(B33&lt;B23,"Corta","Larga")</f>
      </c>
      <c r="D34" s="6">
        <f>IF(D33&lt;B23,"Corta","Larga")</f>
      </c>
      <c r="F34" s="6">
        <f>IF(F33&lt;B23,"Corta","Larga")</f>
      </c>
    </row>
    <row r="36">
      <c r="A36" s="3" t="s">
        <v>254</v>
      </c>
      <c r="B36" s="6">
        <f>IF(B33&lt;B23,(D7*(1-B33^2/(2*B23^2)))/(5/3+3*B33/(8*B23)-B33^3/(8*B23^3)),(12*PI()^2*D6/(23*B33^2)))/1E6</f>
      </c>
      <c r="D36" s="6">
        <f>IF(D33&lt;B23,(D7*(1-D33^2/(2*B23^2)))/(5/3+3*D33/(8*B23)-D33^3/(8*B23^3)),(12*PI()^2*D6/(23*D33^2)))/1E6</f>
      </c>
      <c r="F36" s="6">
        <f>IF(F33&lt;B23,(D7*(1-F33^2/(2*B23^2)))/(5/3+3*F33/(8*B23)-F33^3/(8*B23^3)),(12*PI()^2*D6/(23*F33^2)))/1E6</f>
      </c>
    </row>
    <row r="37">
      <c r="A37" s="3" t="s">
        <v>255</v>
      </c>
      <c r="B37" s="13">
        <f>B36*1E6*B21/1000</f>
      </c>
      <c r="D37" s="13">
        <f>D36*1E6*B21/1000</f>
      </c>
      <c r="F37" s="13">
        <f>F36*1E6*B21/1000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6" customWidth="1"/>
    <col min="3" max="3" width="10" customWidth="1"/>
    <col min="4" max="4" width="50" customWidth="1"/>
  </cols>
  <sheetData>
    <row r="1">
      <c r="A1" s="1" t="s">
        <v>256</v>
      </c>
    </row>
    <row r="2">
      <c r="A2" s="14" t="s">
        <v>257</v>
      </c>
    </row>
    <row r="3">
      <c r="A3" s="7" t="s">
        <v>258</v>
      </c>
    </row>
    <row r="5">
      <c r="A5" s="2" t="s">
        <v>216</v>
      </c>
      <c r="B5" s="2"/>
      <c r="C5" s="2"/>
      <c r="D5" s="2" t="s">
        <v>217</v>
      </c>
    </row>
    <row r="6">
      <c r="A6" s="3" t="s">
        <v>218</v>
      </c>
      <c r="B6" s="4">
        <v>30000000</v>
      </c>
      <c r="C6" s="10" t="s">
        <v>259</v>
      </c>
      <c r="D6" s="9" t="s">
        <v>260</v>
      </c>
    </row>
    <row r="7">
      <c r="A7" s="3" t="s">
        <v>220</v>
      </c>
      <c r="B7" s="4">
        <v>20000</v>
      </c>
      <c r="C7" s="10" t="s">
        <v>259</v>
      </c>
      <c r="D7" s="9" t="s">
        <v>261</v>
      </c>
    </row>
    <row r="9">
      <c r="A9" s="2" t="s">
        <v>262</v>
      </c>
      <c r="B9" s="2"/>
      <c r="C9" s="2"/>
      <c r="D9" s="2" t="s">
        <v>263</v>
      </c>
    </row>
    <row r="10">
      <c r="A10" s="3" t="s">
        <v>264</v>
      </c>
      <c r="B10" s="4">
        <v>1</v>
      </c>
      <c r="D10" s="9" t="s">
        <v>265</v>
      </c>
    </row>
    <row r="11">
      <c r="A11" s="3" t="s">
        <v>266</v>
      </c>
      <c r="B11" s="4">
        <v>0.7</v>
      </c>
      <c r="D11" s="9" t="s">
        <v>267</v>
      </c>
    </row>
    <row r="12">
      <c r="A12" s="3" t="s">
        <v>268</v>
      </c>
      <c r="B12" s="4">
        <v>0.5</v>
      </c>
      <c r="D12" s="9" t="s">
        <v>269</v>
      </c>
    </row>
    <row r="13">
      <c r="A13" s="3" t="s">
        <v>270</v>
      </c>
      <c r="B13" s="4">
        <v>2</v>
      </c>
      <c r="D13" s="9" t="s">
        <v>271</v>
      </c>
    </row>
    <row r="15">
      <c r="A15" s="2" t="s">
        <v>272</v>
      </c>
      <c r="B15" s="2"/>
      <c r="C15" s="2"/>
      <c r="D15" s="2"/>
    </row>
    <row r="16">
      <c r="A16" s="3" t="s">
        <v>273</v>
      </c>
      <c r="B16" s="4">
        <v>2.5</v>
      </c>
      <c r="C16" s="10" t="s">
        <v>9</v>
      </c>
      <c r="D16" s="9" t="s">
        <v>274</v>
      </c>
    </row>
    <row r="17">
      <c r="A17" s="3" t="s">
        <v>275</v>
      </c>
      <c r="B17" s="6">
        <f>B16*39.3701</f>
      </c>
      <c r="C17" s="10" t="s">
        <v>276</v>
      </c>
      <c r="D17" s="9" t="s">
        <v>277</v>
      </c>
    </row>
    <row r="18">
      <c r="A18" s="3" t="s">
        <v>278</v>
      </c>
      <c r="B18" s="4">
        <v>17.6</v>
      </c>
      <c r="C18" s="10" t="s">
        <v>279</v>
      </c>
      <c r="D18" s="9" t="s">
        <v>280</v>
      </c>
    </row>
    <row r="19">
      <c r="A19" s="3" t="s">
        <v>281</v>
      </c>
      <c r="B19" s="4">
        <v>116</v>
      </c>
      <c r="C19" s="10" t="s">
        <v>282</v>
      </c>
      <c r="D19" s="9" t="s">
        <v>283</v>
      </c>
    </row>
    <row r="20">
      <c r="A20" s="3" t="s">
        <v>284</v>
      </c>
      <c r="B20" s="4">
        <v>2.57</v>
      </c>
      <c r="C20" s="10" t="s">
        <v>276</v>
      </c>
      <c r="D20" s="9" t="s">
        <v>285</v>
      </c>
    </row>
    <row r="22">
      <c r="A22" s="2" t="s">
        <v>286</v>
      </c>
      <c r="B22" s="2"/>
      <c r="C22" s="2"/>
      <c r="D22" s="2"/>
    </row>
    <row r="23">
      <c r="A23" s="11" t="s">
        <v>287</v>
      </c>
      <c r="B23" s="11" t="s">
        <v>288</v>
      </c>
      <c r="C23" s="11" t="s">
        <v>289</v>
      </c>
      <c r="D23" s="11" t="s">
        <v>290</v>
      </c>
      <c r="E23" s="11" t="s">
        <v>291</v>
      </c>
      <c r="F23" s="11" t="s">
        <v>292</v>
      </c>
      <c r="G23" s="11" t="s">
        <v>293</v>
      </c>
      <c r="H23" s="11" t="s">
        <v>294</v>
      </c>
      <c r="I23" s="11" t="s">
        <v>295</v>
      </c>
      <c r="J23" s="11" t="s">
        <v>296</v>
      </c>
    </row>
    <row r="24">
      <c r="A24" s="3" t="s">
        <v>297</v>
      </c>
      <c r="B24" s="6">
        <f>B10</f>
      </c>
      <c r="C24" s="6">
        <f>B10*B17</f>
      </c>
      <c r="D24" s="6">
        <f>C24/B20</f>
      </c>
      <c r="E24" s="6">
        <f>PI()^2*B6*B19/C24^2</f>
      </c>
      <c r="F24" s="6">
        <f>E24/B18</f>
      </c>
      <c r="G24" s="6">
        <f>SQRT(2*PI()^2*B6/B7)</f>
      </c>
      <c r="H24" s="6">
        <f>IF(D24&lt;G24,"Corta","Larga")</f>
      </c>
      <c r="I24" s="6">
        <f>IF(D24&lt;G24,(B7*(1-D24^2/(2*G24^2)))/(5/3+3*D24/(8*G24)-D24^3/(8*G24^3)),(12*PI()^2*B6/(23*D24^2)))</f>
      </c>
      <c r="J24" s="13">
        <f>I24*B18</f>
      </c>
    </row>
    <row r="25">
      <c r="A25" s="3" t="s">
        <v>298</v>
      </c>
      <c r="B25" s="6">
        <f>B11</f>
      </c>
      <c r="C25" s="6">
        <f>B11*B17</f>
      </c>
      <c r="D25" s="6">
        <f>C25/B20</f>
      </c>
      <c r="E25" s="6">
        <f>PI()^2*B6*B19/C25^2</f>
      </c>
      <c r="F25" s="6">
        <f>E25/B18</f>
      </c>
      <c r="G25" s="6">
        <f>SQRT(2*PI()^2*B6/B7)</f>
      </c>
      <c r="H25" s="6">
        <f>IF(D25&lt;G25,"Corta","Larga")</f>
      </c>
      <c r="I25" s="6">
        <f>IF(D25&lt;G25,(B7*(1-D25^2/(2*G25^2)))/(5/3+3*D25/(8*G25)-D25^3/(8*G25^3)),(12*PI()^2*B6/(23*D25^2)))</f>
      </c>
      <c r="J25" s="13">
        <f>I25*B18</f>
      </c>
    </row>
    <row r="26">
      <c r="A26" s="3" t="s">
        <v>299</v>
      </c>
      <c r="B26" s="6">
        <f>B12</f>
      </c>
      <c r="C26" s="6">
        <f>B12*B17</f>
      </c>
      <c r="D26" s="6">
        <f>C26/B20</f>
      </c>
      <c r="E26" s="6">
        <f>PI()^2*B6*B19/C26^2</f>
      </c>
      <c r="F26" s="6">
        <f>E26/B18</f>
      </c>
      <c r="G26" s="6">
        <f>SQRT(2*PI()^2*B6/B7)</f>
      </c>
      <c r="H26" s="6">
        <f>IF(D26&lt;G26,"Corta","Larga")</f>
      </c>
      <c r="I26" s="6">
        <f>IF(D26&lt;G26,(B7*(1-D26^2/(2*G26^2)))/(5/3+3*D26/(8*G26)-D26^3/(8*G26^3)),(12*PI()^2*B6/(23*D26^2)))</f>
      </c>
      <c r="J26" s="13">
        <f>I26*B18</f>
      </c>
    </row>
    <row r="27">
      <c r="A27" s="3" t="s">
        <v>300</v>
      </c>
      <c r="B27" s="6">
        <f>B13</f>
      </c>
      <c r="C27" s="6">
        <f>B13*B17</f>
      </c>
      <c r="D27" s="6">
        <f>C27/B20</f>
      </c>
      <c r="E27" s="6">
        <f>PI()^2*B6*B19/C27^2</f>
      </c>
      <c r="F27" s="6">
        <f>E27/B18</f>
      </c>
      <c r="G27" s="6">
        <f>SQRT(2*PI()^2*B6/B7)</f>
      </c>
      <c r="H27" s="6">
        <f>IF(D27&lt;G27,"Corta","Larga")</f>
      </c>
      <c r="I27" s="6">
        <f>IF(D27&lt;G27,(B7*(1-D27^2/(2*G27^2)))/(5/3+3*D27/(8*G27)-D27^3/(8*G27^3)),(12*PI()^2*B6/(23*D27^2)))</f>
      </c>
      <c r="J27" s="13">
        <f>I27*B18</f>
      </c>
    </row>
  </sheetData>
</worksheet>
</file>