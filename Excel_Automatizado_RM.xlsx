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p. Seccion" sheetId="1" r:id="rId1"/>
    <sheet name="Carga admisible_cc" sheetId="2" r:id="rId2"/>
    <sheet name="Tabla Multi-Ejercicios" sheetId="3" r:id="rId3"/>
    <sheet name="Columna Circular" sheetId="4" r:id="rId4"/>
    <sheet name="Columnas en I" sheetId="5" r:id="rId5"/>
  </sheets>
</workbook>
</file>

<file path=xl/sharedStrings.xml><?xml version="1.0" encoding="utf-8"?>
<sst xmlns="http://schemas.openxmlformats.org/spreadsheetml/2006/main" count="218" uniqueCount="218">
  <si>
    <t>PROPIEDADES DE SECCIÓN - CÁLCULO AUTOMÁTICO</t>
  </si>
  <si>
    <t>Universidad Nacional de Loja - Resistencia de Materiales</t>
  </si>
  <si>
    <t>Ingrese los datos y los resultados se calculan automáticamente</t>
  </si>
  <si>
    <t>π =</t>
  </si>
  <si>
    <t>═══ 1. SECCIÓN CIRCULAR SÓLIDA ═══</t>
  </si>
  <si>
    <t>DATOS:</t>
  </si>
  <si>
    <t>r (radio)</t>
  </si>
  <si>
    <t>m</t>
  </si>
  <si>
    <t>RESULTADOS (automáticos):</t>
  </si>
  <si>
    <t>d (diámetro)</t>
  </si>
  <si>
    <t>A (área) = π·r²</t>
  </si>
  <si>
    <t>m²</t>
  </si>
  <si>
    <t>I (inercia) = π·r⁴/4</t>
  </si>
  <si>
    <t>m⁴</t>
  </si>
  <si>
    <t>S (mód. sección) = π·r³/4</t>
  </si>
  <si>
    <t>m³</t>
  </si>
  <si>
    <t>r_g (radio de giro) = r/2</t>
  </si>
  <si>
    <t>═══ 2. SECCIÓN CIRCULAR HUECA ═══</t>
  </si>
  <si>
    <t>R_ext (radio exterior)</t>
  </si>
  <si>
    <t>R_int (radio interior)</t>
  </si>
  <si>
    <t>D_ext (diámetro ext.)</t>
  </si>
  <si>
    <t>D_int (diámetro int.)</t>
  </si>
  <si>
    <t>A (área) = π·(R²-r²)</t>
  </si>
  <si>
    <t>I (inercia) = π·(R⁴-r⁴)/4</t>
  </si>
  <si>
    <t>S (mód. sección) = I/R_ext</t>
  </si>
  <si>
    <t>r_g (radio de giro) = √(I/A)</t>
  </si>
  <si>
    <t>═══ 3. SECCIÓN CUADRADA SÓLIDA ═══</t>
  </si>
  <si>
    <t>a (lado)</t>
  </si>
  <si>
    <t>A (área) = a²</t>
  </si>
  <si>
    <t>I (inercia) = a⁴/12</t>
  </si>
  <si>
    <t>S (mód. sección) = a³/6</t>
  </si>
  <si>
    <t>r_g (radio de giro) = a/√12</t>
  </si>
  <si>
    <t>═══ 4. SECCIÓN CUADRADA HUECA ═══</t>
  </si>
  <si>
    <t>a_ext (lado exterior)</t>
  </si>
  <si>
    <t>a_int (lado interior)</t>
  </si>
  <si>
    <t>A (área) = a_ext² - a_int²</t>
  </si>
  <si>
    <t>I (inercia) = (a_ext⁴-a_int⁴)/12</t>
  </si>
  <si>
    <t>S (mód. sección) = I/(a_ext/2)</t>
  </si>
  <si>
    <t>═══ 5. SECCIÓN RECTANGULAR SÓLIDA ═══</t>
  </si>
  <si>
    <t>b (base)</t>
  </si>
  <si>
    <t>h (altura)</t>
  </si>
  <si>
    <t>A (área) = b·h</t>
  </si>
  <si>
    <t>Ix (inercia eje x) = b·h³/12</t>
  </si>
  <si>
    <t>Iy (inercia eje y) = h·b³/12</t>
  </si>
  <si>
    <t>Sx (mód. sección x) = b·h²/6</t>
  </si>
  <si>
    <t>Sy (mód. sección y) = h·b²/6</t>
  </si>
  <si>
    <t>rx (radio giro x) = h/√12</t>
  </si>
  <si>
    <t>ry (radio giro y) = b/√12</t>
  </si>
  <si>
    <t>═══ 6. SECCIÓN RECTANGULAR HUECA ═══</t>
  </si>
  <si>
    <t>b_ext (base exterior)</t>
  </si>
  <si>
    <t>h_ext (altura exterior)</t>
  </si>
  <si>
    <t>b_int (base interior)</t>
  </si>
  <si>
    <t>h_int (altura interior)</t>
  </si>
  <si>
    <t>A (área) = b_ext·h_ext - b_int·h_int</t>
  </si>
  <si>
    <t>Ix (inercia x) = (b_ext·h_ext³ - b_int·h_int³)/12</t>
  </si>
  <si>
    <t>Iy (inercia y) = (h_ext·b_ext³ - h_int·b_int³)/12</t>
  </si>
  <si>
    <t>Sx = Ix / (h_ext/2)</t>
  </si>
  <si>
    <t>Sy = Iy / (b_ext/2)</t>
  </si>
  <si>
    <t>rx = √(Ix/A)</t>
  </si>
  <si>
    <t>ry = √(Iy/A)</t>
  </si>
  <si>
    <t>Universidad Nacional de Loja</t>
  </si>
  <si>
    <t>Nombre: Israel Alvarado</t>
  </si>
  <si>
    <t>Asignatura: Resistencia de materiales</t>
  </si>
  <si>
    <t>CARGAS ADMISIBLES CON CORTE CRÍTICO - CÁLCULO AUTOMATIZADO</t>
  </si>
  <si>
    <t>1. DATOS DE ENTRADA</t>
  </si>
  <si>
    <t>E — Módulo de elasticidad</t>
  </si>
  <si>
    <t>GPa</t>
  </si>
  <si>
    <t>Fy — Esfuerzo de fluencia (A992)</t>
  </si>
  <si>
    <t>MPa</t>
  </si>
  <si>
    <t>A — Área de la sección</t>
  </si>
  <si>
    <t>Ix — Momento de inercia, eje fuerte x</t>
  </si>
  <si>
    <t>Iy — Momento de inercia, eje débil y</t>
  </si>
  <si>
    <t>L — Longitud total de la columna</t>
  </si>
  <si>
    <t>Kx — Factor de longitud efectiva, eje x</t>
  </si>
  <si>
    <t>-</t>
  </si>
  <si>
    <t>Lx,no-arriostrada — long. libre eje x</t>
  </si>
  <si>
    <t>Ky — Factor de longitud efectiva, eje y</t>
  </si>
  <si>
    <t>Ly,no-arriostrada — long. libre eje y</t>
  </si>
  <si>
    <t>F.S. — Factor de seguridad contra pandeo</t>
  </si>
  <si>
    <t>2. DESARROLLO DEL CÁLCULO</t>
  </si>
  <si>
    <t>E en Pa</t>
  </si>
  <si>
    <t>Pa</t>
  </si>
  <si>
    <t>Fy en Pa</t>
  </si>
  <si>
    <t>(K·L)x — long. efectiva eje x</t>
  </si>
  <si>
    <t>(K·L)y — long. efectiva eje y</t>
  </si>
  <si>
    <t>Pcr,x = π²·E·Ix / (K·L)x²</t>
  </si>
  <si>
    <t>N</t>
  </si>
  <si>
    <t>Pcr,y = π²·E·Iy / (K·L)y²</t>
  </si>
  <si>
    <t>Eje que gobierna el pandeo</t>
  </si>
  <si>
    <t>Pcr (pandeo) = mín(Pcr,x; Pcr,y)</t>
  </si>
  <si>
    <t>Pcr (pandeo) en kN</t>
  </si>
  <si>
    <t>kN</t>
  </si>
  <si>
    <t>3. VERIFICACIÓN POR FLUENCIA</t>
  </si>
  <si>
    <t>σ pandeo = Pcr/A</t>
  </si>
  <si>
    <t>σ en MPa</t>
  </si>
  <si>
    <t>Pcr,fluencia = Fy · A</t>
  </si>
  <si>
    <t>¿σ &lt; Fy? (si NO, rige fluencia)</t>
  </si>
  <si>
    <t>Pcr final (gobernante)</t>
  </si>
  <si>
    <t>4. CARGA ADMISIBLE</t>
  </si>
  <si>
    <t>P_admisible = Pcr,final / F.S.</t>
  </si>
  <si>
    <t>P_admisible en kN</t>
  </si>
  <si>
    <t>══════════════════════════════</t>
  </si>
  <si>
    <t>RESULTADO: FUERZA ADMISIBLE P</t>
  </si>
  <si>
    <t>TABLA MULTI-EJERCICIOS — Carga Admisible por Pandeo (Automatizada)</t>
  </si>
  <si>
    <t>Complete las columnas A-K (datos) y las columnas L-V se calculan automáticamente</t>
  </si>
  <si>
    <t>N.º</t>
  </si>
  <si>
    <t>Descripción / sección</t>
  </si>
  <si>
    <t>E (GPa)</t>
  </si>
  <si>
    <t>Fy (MPa)</t>
  </si>
  <si>
    <t>A (m²)</t>
  </si>
  <si>
    <t>Ix (m⁴)</t>
  </si>
  <si>
    <t>Iy (m⁴)</t>
  </si>
  <si>
    <t>Kx</t>
  </si>
  <si>
    <t>Lx no-arr. (m)</t>
  </si>
  <si>
    <t>Ky</t>
  </si>
  <si>
    <t>Ly no-arr. (m)</t>
  </si>
  <si>
    <t>(KL)x (m)</t>
  </si>
  <si>
    <t>(KL)y (m)</t>
  </si>
  <si>
    <t>Pcr,x (N)</t>
  </si>
  <si>
    <t>Pcr,y (N)</t>
  </si>
  <si>
    <t>Eje que gobierna</t>
  </si>
  <si>
    <t>Pcr pandeo (kN)</t>
  </si>
  <si>
    <t>σ pandeo (MPa)</t>
  </si>
  <si>
    <t>Pcr fluencia (kN)</t>
  </si>
  <si>
    <t>Modo de falla</t>
  </si>
  <si>
    <t>F.S.</t>
  </si>
  <si>
    <t>P admisible (kN)</t>
  </si>
  <si>
    <t>FP 13.3 — Columna A992, arriostrada eje débil a media altura</t>
  </si>
  <si>
    <t>COLUMNA CIRCULAR — Normas ACI y NSR-84 (AUTOMATIZADO)</t>
  </si>
  <si>
    <t>Calcular la carga axial permisible para la columna circular hueca</t>
  </si>
  <si>
    <t>La columna es un tubo de acero empotrado en la base.</t>
  </si>
  <si>
    <t>═══ DATOS DE ENTRADA ═══</t>
  </si>
  <si>
    <t>E =</t>
  </si>
  <si>
    <t>Fy =</t>
  </si>
  <si>
    <t>k (factor long. efectiva) =</t>
  </si>
  <si>
    <t>(empotrado-libre)</t>
  </si>
  <si>
    <t>LONGITUDES:</t>
  </si>
  <si>
    <t>L1 =</t>
  </si>
  <si>
    <t>L2 =</t>
  </si>
  <si>
    <t>L3 =</t>
  </si>
  <si>
    <t>DIMENSIONES:</t>
  </si>
  <si>
    <t>D.int =</t>
  </si>
  <si>
    <t>cm</t>
  </si>
  <si>
    <t>D.ext =</t>
  </si>
  <si>
    <t>═══ PROPIEDADES CALCULADAS ═══</t>
  </si>
  <si>
    <t>I (inercia) =</t>
  </si>
  <si>
    <t>A (área) =</t>
  </si>
  <si>
    <t>r (radio de giro) =</t>
  </si>
  <si>
    <t>Cc (relación de esbeltez crítica) =</t>
  </si>
  <si>
    <t>═══ NORMA ACI (Euler) ═══</t>
  </si>
  <si>
    <t>Le = k·L =</t>
  </si>
  <si>
    <t>kL/r =</t>
  </si>
  <si>
    <t>Pcr (Euler) =</t>
  </si>
  <si>
    <t>Pcr (kN) =</t>
  </si>
  <si>
    <t>σ cr =</t>
  </si>
  <si>
    <t>σ cr (MPa) =</t>
  </si>
  <si>
    <t>═══ NORMA NSR-84 ═══</t>
  </si>
  <si>
    <t>Esbeltez kL/r =</t>
  </si>
  <si>
    <t>Cc =</t>
  </si>
  <si>
    <t>Comparación:</t>
  </si>
  <si>
    <t>Tipo columna:</t>
  </si>
  <si>
    <t>σa (esfuerzo admisible) =</t>
  </si>
  <si>
    <t>σa (MPa) =</t>
  </si>
  <si>
    <t>P admisible =</t>
  </si>
  <si>
    <t>P admisible (kN) =</t>
  </si>
  <si>
    <t>═══ TABLA COMPARATIVA ACI vs NSR-84 ═══</t>
  </si>
  <si>
    <t>Norma</t>
  </si>
  <si>
    <t>L1</t>
  </si>
  <si>
    <t>L2</t>
  </si>
  <si>
    <t>L3</t>
  </si>
  <si>
    <t>Unidad</t>
  </si>
  <si>
    <t>ACI — Pcr</t>
  </si>
  <si>
    <t>ACI — σcr</t>
  </si>
  <si>
    <t>NSR-84 — P adm</t>
  </si>
  <si>
    <t>NSR-84 — σa</t>
  </si>
  <si>
    <t>COLUMNAS EN I — ANÁLISIS CON DIFERENTES CONDICIONES DE APOYO</t>
  </si>
  <si>
    <t>═══ DATOS DEL MATERIAL ═══</t>
  </si>
  <si>
    <t>Lb/pulg² (PSI)</t>
  </si>
  <si>
    <t>═══ FACTORES K ═══</t>
  </si>
  <si>
    <t>k1 (articulado-articulado) =</t>
  </si>
  <si>
    <t>k2 (empotrado-articulado) =</t>
  </si>
  <si>
    <t>k3 (empotrado-empotrado) =</t>
  </si>
  <si>
    <t>k4 (empotrado-libre) =</t>
  </si>
  <si>
    <t>═══ LONGITUD ═══</t>
  </si>
  <si>
    <t>L =</t>
  </si>
  <si>
    <t>pulg</t>
  </si>
  <si>
    <t>═══ PROPIEDADES DEL PERFIL (W10x60) ═══</t>
  </si>
  <si>
    <t>Peso</t>
  </si>
  <si>
    <t>Lb/pie</t>
  </si>
  <si>
    <t>A (área)</t>
  </si>
  <si>
    <t>pulg²</t>
  </si>
  <si>
    <t>d (altura)</t>
  </si>
  <si>
    <t>tw (espesor alma)</t>
  </si>
  <si>
    <t>bf (ancho patín)</t>
  </si>
  <si>
    <t>tf (espesor patín)</t>
  </si>
  <si>
    <t>Ix =</t>
  </si>
  <si>
    <t>pulg⁴</t>
  </si>
  <si>
    <t>Sx =</t>
  </si>
  <si>
    <t>pulg³</t>
  </si>
  <si>
    <t>rx =</t>
  </si>
  <si>
    <t>Iy =</t>
  </si>
  <si>
    <t>Sy =</t>
  </si>
  <si>
    <t>ry =</t>
  </si>
  <si>
    <t>═══ RESULTADOS POR CONDICIÓN DE APOYO ═══</t>
  </si>
  <si>
    <t>Condición</t>
  </si>
  <si>
    <t>k</t>
  </si>
  <si>
    <t>Le (pulg)</t>
  </si>
  <si>
    <t>kL/ry</t>
  </si>
  <si>
    <t>Pcr,y (Lb)</t>
  </si>
  <si>
    <t>σcr (PSI)</t>
  </si>
  <si>
    <t>Cc</t>
  </si>
  <si>
    <t>Tipo</t>
  </si>
  <si>
    <t>σa NSR (PSI)</t>
  </si>
  <si>
    <t>P adm (Lb)</t>
  </si>
  <si>
    <t>Art-Art</t>
  </si>
  <si>
    <t>Emp-Art</t>
  </si>
  <si>
    <t>Emp-Emp</t>
  </si>
  <si>
    <t>Emp-Libre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</si>
</sst>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>
        <v>3.141592653589793</v>
      </c>
    </row>
    <row r="6">
      <c r="A6" t="s">
        <v>4</v>
      </c>
    </row>
    <row r="7">
      <c r="A7" t="s">
        <v>5</v>
      </c>
    </row>
    <row r="8">
      <c r="A8" t="s">
        <v>6</v>
      </c>
      <c r="B8">
        <v>0.05</v>
      </c>
      <c r="C8" t="s">
        <v>7</v>
      </c>
    </row>
    <row r="10">
      <c r="A10" t="s">
        <v>8</v>
      </c>
    </row>
    <row r="11">
      <c r="A11" t="s">
        <v>9</v>
      </c>
      <c r="B11">
        <f>2*B8</f>
      </c>
      <c r="C11" t="s">
        <v>7</v>
      </c>
    </row>
    <row r="12">
      <c r="A12" t="s">
        <v>10</v>
      </c>
      <c r="B12">
        <f>$B$4*B8^2</f>
      </c>
      <c r="C12" t="s">
        <v>11</v>
      </c>
    </row>
    <row r="13">
      <c r="A13" t="s">
        <v>12</v>
      </c>
      <c r="B13">
        <f>$B$4*B8^4/4</f>
      </c>
      <c r="C13" t="s">
        <v>13</v>
      </c>
    </row>
    <row r="14">
      <c r="A14" t="s">
        <v>14</v>
      </c>
      <c r="B14">
        <f>$B$4*B8^3/4</f>
      </c>
      <c r="C14" t="s">
        <v>15</v>
      </c>
    </row>
    <row r="15">
      <c r="A15" t="s">
        <v>16</v>
      </c>
      <c r="B15">
        <f>B8/2</f>
      </c>
      <c r="C15" t="s">
        <v>7</v>
      </c>
    </row>
    <row r="17">
      <c r="A17" t="s">
        <v>17</v>
      </c>
    </row>
    <row r="18">
      <c r="A18" t="s">
        <v>5</v>
      </c>
    </row>
    <row r="19">
      <c r="A19" t="s">
        <v>18</v>
      </c>
      <c r="B19">
        <v>0.075</v>
      </c>
      <c r="C19" t="s">
        <v>7</v>
      </c>
    </row>
    <row r="20">
      <c r="A20" t="s">
        <v>19</v>
      </c>
      <c r="B20">
        <v>0.065</v>
      </c>
      <c r="C20" t="s">
        <v>7</v>
      </c>
    </row>
    <row r="22">
      <c r="A22" t="s">
        <v>8</v>
      </c>
    </row>
    <row r="23">
      <c r="A23" t="s">
        <v>20</v>
      </c>
      <c r="B23">
        <f>2*B19</f>
      </c>
      <c r="C23" t="s">
        <v>7</v>
      </c>
    </row>
    <row r="24">
      <c r="A24" t="s">
        <v>21</v>
      </c>
      <c r="B24">
        <f>2*B20</f>
      </c>
      <c r="C24" t="s">
        <v>7</v>
      </c>
    </row>
    <row r="25">
      <c r="A25" t="s">
        <v>22</v>
      </c>
      <c r="B25">
        <f>$B$4*(B19^2-B20^2)</f>
      </c>
      <c r="C25" t="s">
        <v>11</v>
      </c>
    </row>
    <row r="26">
      <c r="A26" t="s">
        <v>23</v>
      </c>
      <c r="B26">
        <f>$B$4*(B19^4-B20^4)/4</f>
      </c>
      <c r="C26" t="s">
        <v>13</v>
      </c>
    </row>
    <row r="27">
      <c r="A27" t="s">
        <v>24</v>
      </c>
      <c r="B27">
        <f>($B$4*(B19^4-B20^4)/4)/B19</f>
      </c>
      <c r="C27" t="s">
        <v>15</v>
      </c>
    </row>
    <row r="28">
      <c r="A28" t="s">
        <v>25</v>
      </c>
      <c r="B28">
        <f>SQRT(($B$4*(B19^4-B20^4)/4)/($B$4*(B19^2-B20^2)))</f>
      </c>
      <c r="C28" t="s">
        <v>7</v>
      </c>
    </row>
    <row r="30">
      <c r="A30" t="s">
        <v>26</v>
      </c>
    </row>
    <row r="31">
      <c r="A31" t="s">
        <v>5</v>
      </c>
    </row>
    <row r="32">
      <c r="A32" t="s">
        <v>27</v>
      </c>
      <c r="B32">
        <v>0.1</v>
      </c>
      <c r="C32" t="s">
        <v>7</v>
      </c>
    </row>
    <row r="34">
      <c r="A34" t="s">
        <v>8</v>
      </c>
    </row>
    <row r="35">
      <c r="A35" t="s">
        <v>28</v>
      </c>
      <c r="B35">
        <f>B32^2</f>
      </c>
      <c r="C35" t="s">
        <v>11</v>
      </c>
    </row>
    <row r="36">
      <c r="A36" t="s">
        <v>29</v>
      </c>
      <c r="B36">
        <f>B32^4/12</f>
      </c>
      <c r="C36" t="s">
        <v>13</v>
      </c>
    </row>
    <row r="37">
      <c r="A37" t="s">
        <v>30</v>
      </c>
      <c r="B37">
        <f>B32^3/6</f>
      </c>
      <c r="C37" t="s">
        <v>15</v>
      </c>
    </row>
    <row r="38">
      <c r="A38" t="s">
        <v>31</v>
      </c>
      <c r="B38">
        <f>B32/SQRT(12)</f>
      </c>
      <c r="C38" t="s">
        <v>7</v>
      </c>
    </row>
    <row r="40">
      <c r="A40" t="s">
        <v>32</v>
      </c>
    </row>
    <row r="41">
      <c r="A41" t="s">
        <v>5</v>
      </c>
    </row>
    <row r="42">
      <c r="A42" t="s">
        <v>33</v>
      </c>
      <c r="B42">
        <v>0.12</v>
      </c>
      <c r="C42" t="s">
        <v>7</v>
      </c>
    </row>
    <row r="43">
      <c r="A43" t="s">
        <v>34</v>
      </c>
      <c r="B43">
        <v>0.1</v>
      </c>
      <c r="C43" t="s">
        <v>7</v>
      </c>
    </row>
    <row r="45">
      <c r="A45" t="s">
        <v>8</v>
      </c>
    </row>
    <row r="46">
      <c r="A46" t="s">
        <v>35</v>
      </c>
      <c r="B46">
        <f>B42^2-B43^2</f>
      </c>
      <c r="C46" t="s">
        <v>11</v>
      </c>
    </row>
    <row r="47">
      <c r="A47" t="s">
        <v>36</v>
      </c>
      <c r="B47">
        <f>(B42^4-B43^4)/12</f>
      </c>
      <c r="C47" t="s">
        <v>13</v>
      </c>
    </row>
    <row r="48">
      <c r="A48" t="s">
        <v>37</v>
      </c>
      <c r="B48">
        <f>((B42^4-B43^4)/12)/(B42/2)</f>
      </c>
      <c r="C48" t="s">
        <v>15</v>
      </c>
    </row>
    <row r="49">
      <c r="A49" t="s">
        <v>25</v>
      </c>
      <c r="B49">
        <f>SQRT(((B42^4-B43^4)/12)/(B42^2-B43^2))</f>
      </c>
      <c r="C49" t="s">
        <v>7</v>
      </c>
    </row>
    <row r="51">
      <c r="A51" t="s">
        <v>38</v>
      </c>
    </row>
    <row r="52">
      <c r="A52" t="s">
        <v>5</v>
      </c>
    </row>
    <row r="53">
      <c r="A53" t="s">
        <v>39</v>
      </c>
      <c r="B53">
        <v>0.08</v>
      </c>
      <c r="C53" t="s">
        <v>7</v>
      </c>
    </row>
    <row r="54">
      <c r="A54" t="s">
        <v>40</v>
      </c>
      <c r="B54">
        <v>0.15</v>
      </c>
      <c r="C54" t="s">
        <v>7</v>
      </c>
    </row>
    <row r="56">
      <c r="A56" t="s">
        <v>8</v>
      </c>
    </row>
    <row r="57">
      <c r="A57" t="s">
        <v>41</v>
      </c>
      <c r="B57">
        <f>B53*B54</f>
      </c>
      <c r="C57" t="s">
        <v>11</v>
      </c>
    </row>
    <row r="58">
      <c r="A58" t="s">
        <v>42</v>
      </c>
      <c r="B58">
        <f>B53*B54^3/12</f>
      </c>
      <c r="C58" t="s">
        <v>13</v>
      </c>
    </row>
    <row r="59">
      <c r="A59" t="s">
        <v>43</v>
      </c>
      <c r="B59">
        <f>B54*B53^3/12</f>
      </c>
      <c r="C59" t="s">
        <v>13</v>
      </c>
    </row>
    <row r="60">
      <c r="A60" t="s">
        <v>44</v>
      </c>
      <c r="B60">
        <f>B53*B54^2/6</f>
      </c>
      <c r="C60" t="s">
        <v>15</v>
      </c>
    </row>
    <row r="61">
      <c r="A61" t="s">
        <v>45</v>
      </c>
      <c r="B61">
        <f>B54*B53^2/6</f>
      </c>
      <c r="C61" t="s">
        <v>15</v>
      </c>
    </row>
    <row r="62">
      <c r="A62" t="s">
        <v>46</v>
      </c>
      <c r="B62">
        <f>B54/SQRT(12)</f>
      </c>
      <c r="C62" t="s">
        <v>7</v>
      </c>
    </row>
    <row r="63">
      <c r="A63" t="s">
        <v>47</v>
      </c>
      <c r="B63">
        <f>B53/SQRT(12)</f>
      </c>
      <c r="C63" t="s">
        <v>7</v>
      </c>
    </row>
    <row r="65">
      <c r="A65" t="s">
        <v>48</v>
      </c>
    </row>
    <row r="66">
      <c r="A66" t="s">
        <v>5</v>
      </c>
    </row>
    <row r="67">
      <c r="A67" t="s">
        <v>49</v>
      </c>
      <c r="B67">
        <v>0.12</v>
      </c>
      <c r="C67" t="s">
        <v>7</v>
      </c>
    </row>
    <row r="68">
      <c r="A68" t="s">
        <v>50</v>
      </c>
      <c r="B68">
        <v>0.2</v>
      </c>
      <c r="C68" t="s">
        <v>7</v>
      </c>
    </row>
    <row r="69">
      <c r="A69" t="s">
        <v>51</v>
      </c>
      <c r="B69">
        <v>0.1</v>
      </c>
      <c r="C69" t="s">
        <v>7</v>
      </c>
    </row>
    <row r="70">
      <c r="A70" t="s">
        <v>52</v>
      </c>
      <c r="B70">
        <v>0.18</v>
      </c>
      <c r="C70" t="s">
        <v>7</v>
      </c>
    </row>
    <row r="72">
      <c r="A72" t="s">
        <v>8</v>
      </c>
    </row>
    <row r="73">
      <c r="A73" t="s">
        <v>53</v>
      </c>
      <c r="B73">
        <f>B67*B68-B69*B70</f>
      </c>
      <c r="C73" t="s">
        <v>11</v>
      </c>
    </row>
    <row r="74">
      <c r="A74" t="s">
        <v>54</v>
      </c>
      <c r="B74">
        <f>(B67*B68^3-B69*B70^3)/12</f>
      </c>
      <c r="C74" t="s">
        <v>13</v>
      </c>
    </row>
    <row r="75">
      <c r="A75" t="s">
        <v>55</v>
      </c>
      <c r="B75">
        <f>(B68*B67^3-B70*B69^3)/12</f>
      </c>
      <c r="C75" t="s">
        <v>13</v>
      </c>
    </row>
    <row r="76">
      <c r="A76" t="s">
        <v>56</v>
      </c>
      <c r="B76">
        <f>((B67*B68^3-B69*B70^3)/12)/(B68/2)</f>
      </c>
      <c r="C76" t="s">
        <v>15</v>
      </c>
    </row>
    <row r="77">
      <c r="A77" t="s">
        <v>57</v>
      </c>
      <c r="B77">
        <f>((B68*B67^3-B70*B69^3)/12)/(B67/2)</f>
      </c>
      <c r="C77" t="s">
        <v>15</v>
      </c>
    </row>
    <row r="78">
      <c r="A78" t="s">
        <v>58</v>
      </c>
      <c r="B78">
        <f>SQRT(((B67*B68^3-B69*B70^3)/12)/(B67*B68-B69*B70))</f>
      </c>
      <c r="C78" t="s">
        <v>7</v>
      </c>
    </row>
    <row r="79">
      <c r="A79" t="s">
        <v>59</v>
      </c>
      <c r="B79">
        <f>SQRT(((B68*B67^3-B70*B69^3)/12)/(B67*B68-B69*B70))</f>
      </c>
      <c r="C79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60</v>
      </c>
    </row>
    <row r="2">
      <c r="A2" t="s">
        <v>61</v>
      </c>
    </row>
    <row r="3">
      <c r="A3" t="s">
        <v>62</v>
      </c>
    </row>
    <row r="4">
      <c r="A4" t="s">
        <v>63</v>
      </c>
    </row>
    <row r="6">
      <c r="A6" t="s">
        <v>64</v>
      </c>
    </row>
    <row r="7">
      <c r="A7" t="s">
        <v>65</v>
      </c>
      <c r="B7">
        <v>200</v>
      </c>
      <c r="C7" t="s">
        <v>66</v>
      </c>
    </row>
    <row r="8">
      <c r="A8" t="s">
        <v>67</v>
      </c>
      <c r="B8">
        <v>345</v>
      </c>
      <c r="C8" t="s">
        <v>68</v>
      </c>
    </row>
    <row r="9">
      <c r="A9" t="s">
        <v>69</v>
      </c>
      <c r="B9">
        <v>0.0074</v>
      </c>
      <c r="C9" t="s">
        <v>11</v>
      </c>
    </row>
    <row r="10">
      <c r="A10" t="s">
        <v>70</v>
      </c>
      <c r="B10">
        <v>8.73e-05</v>
      </c>
      <c r="C10" t="s">
        <v>13</v>
      </c>
    </row>
    <row r="11">
      <c r="A11" t="s">
        <v>71</v>
      </c>
      <c r="B11">
        <v>1.88e-05</v>
      </c>
      <c r="C11" t="s">
        <v>13</v>
      </c>
    </row>
    <row r="12">
      <c r="A12" t="s">
        <v>72</v>
      </c>
      <c r="B12">
        <v>12.0</v>
      </c>
      <c r="C12" t="s">
        <v>7</v>
      </c>
    </row>
    <row r="13">
      <c r="A13" t="s">
        <v>73</v>
      </c>
      <c r="B13">
        <v>1.0</v>
      </c>
      <c r="C13" t="s">
        <v>74</v>
      </c>
    </row>
    <row r="14">
      <c r="A14" t="s">
        <v>75</v>
      </c>
      <c r="B14">
        <v>12.0</v>
      </c>
      <c r="C14" t="s">
        <v>7</v>
      </c>
    </row>
    <row r="15">
      <c r="A15" t="s">
        <v>76</v>
      </c>
      <c r="B15">
        <v>1.0</v>
      </c>
      <c r="C15" t="s">
        <v>74</v>
      </c>
    </row>
    <row r="16">
      <c r="A16" t="s">
        <v>77</v>
      </c>
      <c r="B16">
        <v>6.0</v>
      </c>
      <c r="C16" t="s">
        <v>7</v>
      </c>
    </row>
    <row r="17">
      <c r="A17" t="s">
        <v>78</v>
      </c>
      <c r="B17">
        <v>2.0</v>
      </c>
      <c r="C17" t="s">
        <v>74</v>
      </c>
    </row>
    <row r="19">
      <c r="A19" t="s">
        <v>79</v>
      </c>
    </row>
    <row r="20">
      <c r="A20" t="s">
        <v>80</v>
      </c>
      <c r="B20">
        <f>B7*1E9</f>
      </c>
      <c r="C20" t="s">
        <v>81</v>
      </c>
    </row>
    <row r="21">
      <c r="A21" t="s">
        <v>82</v>
      </c>
      <c r="B21">
        <f>B8*1E6</f>
      </c>
      <c r="C21" t="s">
        <v>81</v>
      </c>
    </row>
    <row r="22">
      <c r="A22" t="s">
        <v>83</v>
      </c>
      <c r="B22">
        <f>B13*B14</f>
      </c>
      <c r="C22" t="s">
        <v>7</v>
      </c>
    </row>
    <row r="23">
      <c r="A23" t="s">
        <v>84</v>
      </c>
      <c r="B23">
        <f>B15*B16</f>
      </c>
      <c r="C23" t="s">
        <v>7</v>
      </c>
    </row>
    <row r="24">
      <c r="A24" t="s">
        <v>85</v>
      </c>
      <c r="B24">
        <f>PI()^2*B20*B10/B22^2</f>
      </c>
      <c r="C24" t="s">
        <v>86</v>
      </c>
    </row>
    <row r="25">
      <c r="A25" t="s">
        <v>87</v>
      </c>
      <c r="B25">
        <f>PI()^2*B20*B11/B23^2</f>
      </c>
      <c r="C25" t="s">
        <v>86</v>
      </c>
    </row>
    <row r="26">
      <c r="A26" t="s">
        <v>88</v>
      </c>
      <c r="B26">
        <f>IF(B24&lt;B25,"Eje x (fuerte)","Eje y (débil)")</f>
      </c>
    </row>
    <row r="27">
      <c r="A27" t="s">
        <v>89</v>
      </c>
      <c r="B27">
        <f>MIN(B24,B25)</f>
      </c>
      <c r="C27" t="s">
        <v>86</v>
      </c>
    </row>
    <row r="28">
      <c r="A28" t="s">
        <v>90</v>
      </c>
      <c r="B28">
        <f>B27/1000</f>
      </c>
      <c r="C28" t="s">
        <v>91</v>
      </c>
    </row>
    <row r="30">
      <c r="A30" t="s">
        <v>92</v>
      </c>
    </row>
    <row r="31">
      <c r="A31" t="s">
        <v>93</v>
      </c>
      <c r="B31">
        <f>B27/B9</f>
      </c>
      <c r="C31" t="s">
        <v>81</v>
      </c>
    </row>
    <row r="32">
      <c r="A32" t="s">
        <v>94</v>
      </c>
      <c r="B32">
        <f>B31/1E6</f>
      </c>
      <c r="C32" t="s">
        <v>68</v>
      </c>
    </row>
    <row r="33">
      <c r="A33" t="s">
        <v>95</v>
      </c>
      <c r="B33">
        <f>B21*B9</f>
      </c>
      <c r="C33" t="s">
        <v>86</v>
      </c>
    </row>
    <row r="34">
      <c r="A34" t="s">
        <v>96</v>
      </c>
      <c r="B34">
        <f>IF(B32&lt;B8,"OK — rige pandeo (Euler)","NO — rige fluencia")</f>
      </c>
    </row>
    <row r="35">
      <c r="A35" t="s">
        <v>97</v>
      </c>
      <c r="B35">
        <f>IF(B32&lt;B8,B27,B33)</f>
      </c>
      <c r="C35" t="s">
        <v>86</v>
      </c>
    </row>
    <row r="37">
      <c r="A37" t="s">
        <v>98</v>
      </c>
    </row>
    <row r="38">
      <c r="A38" t="s">
        <v>99</v>
      </c>
      <c r="B38">
        <f>B35/B17</f>
      </c>
      <c r="C38" t="s">
        <v>86</v>
      </c>
    </row>
    <row r="39">
      <c r="A39" t="s">
        <v>100</v>
      </c>
      <c r="B39">
        <f>B38/1000</f>
      </c>
      <c r="C39" t="s">
        <v>91</v>
      </c>
    </row>
    <row r="41">
      <c r="A41" t="s">
        <v>101</v>
      </c>
    </row>
    <row r="42">
      <c r="A42" t="s">
        <v>102</v>
      </c>
      <c r="B42">
        <f>B39</f>
      </c>
      <c r="C42" t="s">
        <v>91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103</v>
      </c>
    </row>
    <row r="2">
      <c r="A2" t="s">
        <v>104</v>
      </c>
    </row>
    <row r="4">
      <c r="A4" t="s">
        <v>105</v>
      </c>
      <c r="B4" t="s">
        <v>106</v>
      </c>
      <c r="C4" t="s">
        <v>107</v>
      </c>
      <c r="D4" t="s">
        <v>108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118</v>
      </c>
      <c r="O4" t="s">
        <v>119</v>
      </c>
      <c r="P4" t="s">
        <v>120</v>
      </c>
      <c r="Q4" t="s">
        <v>121</v>
      </c>
      <c r="R4" t="s">
        <v>122</v>
      </c>
      <c r="S4" t="s">
        <v>123</v>
      </c>
      <c r="T4" t="s">
        <v>124</v>
      </c>
      <c r="U4" t="s">
        <v>125</v>
      </c>
      <c r="V4" t="s">
        <v>126</v>
      </c>
    </row>
    <row r="5">
      <c r="A5">
        <v>1</v>
      </c>
      <c r="B5" t="s">
        <v>127</v>
      </c>
      <c r="C5">
        <v>200</v>
      </c>
      <c r="D5">
        <v>345</v>
      </c>
      <c r="E5">
        <v>0.0074</v>
      </c>
      <c r="F5">
        <v>8.73e-05</v>
      </c>
      <c r="G5">
        <v>1.88e-05</v>
      </c>
      <c r="H5">
        <v>1</v>
      </c>
      <c r="I5">
        <v>12</v>
      </c>
      <c r="J5">
        <v>1</v>
      </c>
      <c r="K5">
        <v>6</v>
      </c>
      <c r="L5">
        <f>IF(H5="","",H5*I5)</f>
      </c>
      <c r="M5">
        <f>IF(J5="","",J5*K5)</f>
      </c>
      <c r="N5">
        <f>IF(L5="","",PI()^2*(C5*1E9)*F5/L5^2)</f>
      </c>
      <c r="O5">
        <f>IF(M5="","",PI()^2*(C5*1E9)*G5/M5^2)</f>
      </c>
      <c r="P5">
        <f>IF(N5="","",IF(N5&lt;O5,"Eje x","Eje y"))</f>
      </c>
      <c r="Q5">
        <f>IF(N5="","",MIN(N5,O5)/1000)</f>
      </c>
      <c r="R5">
        <f>IF(Q5="","",Q5*1000/E5/1E6)</f>
      </c>
      <c r="S5">
        <f>IF(E5="","",(D5*1E6)*E5/1000)</f>
      </c>
      <c r="T5">
        <f>IF(Q5="","",IF(Q5&lt;S5,"Pandeo (Euler)","Fluencia"))</f>
      </c>
      <c r="U5">
        <v>2.0</v>
      </c>
      <c r="V5">
        <f>IF(Q5="","",MIN(Q5,S5)/U5)</f>
      </c>
    </row>
    <row r="6">
      <c r="A6">
        <v>2</v>
      </c>
      <c r="L6">
        <f>IF(H6="","",H6*I6)</f>
      </c>
      <c r="M6">
        <f>IF(J6="","",J6*K6)</f>
      </c>
      <c r="N6">
        <f>IF(L6="","",PI()^2*(C6*1E9)*F6/L6^2)</f>
      </c>
      <c r="O6">
        <f>IF(M6="","",PI()^2*(C6*1E9)*G6/M6^2)</f>
      </c>
      <c r="P6">
        <f>IF(N6="","",IF(N6&lt;O6,"Eje x","Eje y"))</f>
      </c>
      <c r="Q6">
        <f>IF(N6="","",MIN(N6,O6)/1000)</f>
      </c>
      <c r="R6">
        <f>IF(Q6="","",Q6*1000/E6/1E6)</f>
      </c>
      <c r="S6">
        <f>IF(E6="","",(D6*1E6)*E6/1000)</f>
      </c>
      <c r="T6">
        <f>IF(Q6="","",IF(Q6&lt;S6,"Pandeo (Euler)","Fluencia"))</f>
      </c>
      <c r="U6">
        <v>2.0</v>
      </c>
      <c r="V6">
        <f>IF(Q6="","",MIN(Q6,S6)/U6)</f>
      </c>
    </row>
    <row r="7">
      <c r="A7">
        <v>3</v>
      </c>
      <c r="L7">
        <f>IF(H7="","",H7*I7)</f>
      </c>
      <c r="M7">
        <f>IF(J7="","",J7*K7)</f>
      </c>
      <c r="N7">
        <f>IF(L7="","",PI()^2*(C7*1E9)*F7/L7^2)</f>
      </c>
      <c r="O7">
        <f>IF(M7="","",PI()^2*(C7*1E9)*G7/M7^2)</f>
      </c>
      <c r="P7">
        <f>IF(N7="","",IF(N7&lt;O7,"Eje x","Eje y"))</f>
      </c>
      <c r="Q7">
        <f>IF(N7="","",MIN(N7,O7)/1000)</f>
      </c>
      <c r="R7">
        <f>IF(Q7="","",Q7*1000/E7/1E6)</f>
      </c>
      <c r="S7">
        <f>IF(E7="","",(D7*1E6)*E7/1000)</f>
      </c>
      <c r="T7">
        <f>IF(Q7="","",IF(Q7&lt;S7,"Pandeo (Euler)","Fluencia"))</f>
      </c>
      <c r="U7">
        <v>2.0</v>
      </c>
      <c r="V7">
        <f>IF(Q7="","",MIN(Q7,S7)/U7)</f>
      </c>
    </row>
    <row r="8">
      <c r="A8">
        <v>4</v>
      </c>
      <c r="L8">
        <f>IF(H8="","",H8*I8)</f>
      </c>
      <c r="M8">
        <f>IF(J8="","",J8*K8)</f>
      </c>
      <c r="N8">
        <f>IF(L8="","",PI()^2*(C8*1E9)*F8/L8^2)</f>
      </c>
      <c r="O8">
        <f>IF(M8="","",PI()^2*(C8*1E9)*G8/M8^2)</f>
      </c>
      <c r="P8">
        <f>IF(N8="","",IF(N8&lt;O8,"Eje x","Eje y"))</f>
      </c>
      <c r="Q8">
        <f>IF(N8="","",MIN(N8,O8)/1000)</f>
      </c>
      <c r="R8">
        <f>IF(Q8="","",Q8*1000/E8/1E6)</f>
      </c>
      <c r="S8">
        <f>IF(E8="","",(D8*1E6)*E8/1000)</f>
      </c>
      <c r="T8">
        <f>IF(Q8="","",IF(Q8&lt;S8,"Pandeo (Euler)","Fluencia"))</f>
      </c>
      <c r="U8">
        <v>2.0</v>
      </c>
      <c r="V8">
        <f>IF(Q8="","",MIN(Q8,S8)/U8)</f>
      </c>
    </row>
    <row r="9">
      <c r="A9">
        <v>5</v>
      </c>
      <c r="L9">
        <f>IF(H9="","",H9*I9)</f>
      </c>
      <c r="M9">
        <f>IF(J9="","",J9*K9)</f>
      </c>
      <c r="N9">
        <f>IF(L9="","",PI()^2*(C9*1E9)*F9/L9^2)</f>
      </c>
      <c r="O9">
        <f>IF(M9="","",PI()^2*(C9*1E9)*G9/M9^2)</f>
      </c>
      <c r="P9">
        <f>IF(N9="","",IF(N9&lt;O9,"Eje x","Eje y"))</f>
      </c>
      <c r="Q9">
        <f>IF(N9="","",MIN(N9,O9)/1000)</f>
      </c>
      <c r="R9">
        <f>IF(Q9="","",Q9*1000/E9/1E6)</f>
      </c>
      <c r="S9">
        <f>IF(E9="","",(D9*1E6)*E9/1000)</f>
      </c>
      <c r="T9">
        <f>IF(Q9="","",IF(Q9&lt;S9,"Pandeo (Euler)","Fluencia"))</f>
      </c>
      <c r="U9">
        <v>2.0</v>
      </c>
      <c r="V9">
        <f>IF(Q9="","",MIN(Q9,S9)/U9)</f>
      </c>
    </row>
    <row r="10">
      <c r="A10">
        <v>6</v>
      </c>
      <c r="L10">
        <f>IF(H10="","",H10*I10)</f>
      </c>
      <c r="M10">
        <f>IF(J10="","",J10*K10)</f>
      </c>
      <c r="N10">
        <f>IF(L10="","",PI()^2*(C10*1E9)*F10/L10^2)</f>
      </c>
      <c r="O10">
        <f>IF(M10="","",PI()^2*(C10*1E9)*G10/M10^2)</f>
      </c>
      <c r="P10">
        <f>IF(N10="","",IF(N10&lt;O10,"Eje x","Eje y"))</f>
      </c>
      <c r="Q10">
        <f>IF(N10="","",MIN(N10,O10)/1000)</f>
      </c>
      <c r="R10">
        <f>IF(Q10="","",Q10*1000/E10/1E6)</f>
      </c>
      <c r="S10">
        <f>IF(E10="","",(D10*1E6)*E10/1000)</f>
      </c>
      <c r="T10">
        <f>IF(Q10="","",IF(Q10&lt;S10,"Pandeo (Euler)","Fluencia"))</f>
      </c>
      <c r="U10">
        <v>2.0</v>
      </c>
      <c r="V10">
        <f>IF(Q10="","",MIN(Q10,S10)/U10)</f>
      </c>
    </row>
    <row r="11">
      <c r="A11">
        <v>7</v>
      </c>
      <c r="L11">
        <f>IF(H11="","",H11*I11)</f>
      </c>
      <c r="M11">
        <f>IF(J11="","",J11*K11)</f>
      </c>
      <c r="N11">
        <f>IF(L11="","",PI()^2*(C11*1E9)*F11/L11^2)</f>
      </c>
      <c r="O11">
        <f>IF(M11="","",PI()^2*(C11*1E9)*G11/M11^2)</f>
      </c>
      <c r="P11">
        <f>IF(N11="","",IF(N11&lt;O11,"Eje x","Eje y"))</f>
      </c>
      <c r="Q11">
        <f>IF(N11="","",MIN(N11,O11)/1000)</f>
      </c>
      <c r="R11">
        <f>IF(Q11="","",Q11*1000/E11/1E6)</f>
      </c>
      <c r="S11">
        <f>IF(E11="","",(D11*1E6)*E11/1000)</f>
      </c>
      <c r="T11">
        <f>IF(Q11="","",IF(Q11&lt;S11,"Pandeo (Euler)","Fluencia"))</f>
      </c>
      <c r="U11">
        <v>2.0</v>
      </c>
      <c r="V11">
        <f>IF(Q11="","",MIN(Q11,S11)/U11)</f>
      </c>
    </row>
    <row r="12">
      <c r="A12">
        <v>8</v>
      </c>
      <c r="L12">
        <f>IF(H12="","",H12*I12)</f>
      </c>
      <c r="M12">
        <f>IF(J12="","",J12*K12)</f>
      </c>
      <c r="N12">
        <f>IF(L12="","",PI()^2*(C12*1E9)*F12/L12^2)</f>
      </c>
      <c r="O12">
        <f>IF(M12="","",PI()^2*(C12*1E9)*G12/M12^2)</f>
      </c>
      <c r="P12">
        <f>IF(N12="","",IF(N12&lt;O12,"Eje x","Eje y"))</f>
      </c>
      <c r="Q12">
        <f>IF(N12="","",MIN(N12,O12)/1000)</f>
      </c>
      <c r="R12">
        <f>IF(Q12="","",Q12*1000/E12/1E6)</f>
      </c>
      <c r="S12">
        <f>IF(E12="","",(D12*1E6)*E12/1000)</f>
      </c>
      <c r="T12">
        <f>IF(Q12="","",IF(Q12&lt;S12,"Pandeo (Euler)","Fluencia"))</f>
      </c>
      <c r="U12">
        <v>2.0</v>
      </c>
      <c r="V12">
        <f>IF(Q12="","",MIN(Q12,S12)/U12)</f>
      </c>
    </row>
    <row r="13">
      <c r="A13">
        <v>9</v>
      </c>
      <c r="L13">
        <f>IF(H13="","",H13*I13)</f>
      </c>
      <c r="M13">
        <f>IF(J13="","",J13*K13)</f>
      </c>
      <c r="N13">
        <f>IF(L13="","",PI()^2*(C13*1E9)*F13/L13^2)</f>
      </c>
      <c r="O13">
        <f>IF(M13="","",PI()^2*(C13*1E9)*G13/M13^2)</f>
      </c>
      <c r="P13">
        <f>IF(N13="","",IF(N13&lt;O13,"Eje x","Eje y"))</f>
      </c>
      <c r="Q13">
        <f>IF(N13="","",MIN(N13,O13)/1000)</f>
      </c>
      <c r="R13">
        <f>IF(Q13="","",Q13*1000/E13/1E6)</f>
      </c>
      <c r="S13">
        <f>IF(E13="","",(D13*1E6)*E13/1000)</f>
      </c>
      <c r="T13">
        <f>IF(Q13="","",IF(Q13&lt;S13,"Pandeo (Euler)","Fluencia"))</f>
      </c>
      <c r="U13">
        <v>2.0</v>
      </c>
      <c r="V13">
        <f>IF(Q13="","",MIN(Q13,S13)/U13)</f>
      </c>
    </row>
    <row r="14">
      <c r="A14">
        <v>10</v>
      </c>
      <c r="L14">
        <f>IF(H14="","",H14*I14)</f>
      </c>
      <c r="M14">
        <f>IF(J14="","",J14*K14)</f>
      </c>
      <c r="N14">
        <f>IF(L14="","",PI()^2*(C14*1E9)*F14/L14^2)</f>
      </c>
      <c r="O14">
        <f>IF(M14="","",PI()^2*(C14*1E9)*G14/M14^2)</f>
      </c>
      <c r="P14">
        <f>IF(N14="","",IF(N14&lt;O14,"Eje x","Eje y"))</f>
      </c>
      <c r="Q14">
        <f>IF(N14="","",MIN(N14,O14)/1000)</f>
      </c>
      <c r="R14">
        <f>IF(Q14="","",Q14*1000/E14/1E6)</f>
      </c>
      <c r="S14">
        <f>IF(E14="","",(D14*1E6)*E14/1000)</f>
      </c>
      <c r="T14">
        <f>IF(Q14="","",IF(Q14&lt;S14,"Pandeo (Euler)","Fluencia"))</f>
      </c>
      <c r="U14">
        <v>2.0</v>
      </c>
      <c r="V14">
        <f>IF(Q14="","",MIN(Q14,S14)/U14)</f>
      </c>
    </row>
  </sheetData>
</worksheet>
</file>

<file path=xl/worksheets/sheet4.xml><?xml version="1.0" encoding="utf-8"?>
<worksheet xmlns="http://schemas.openxmlformats.org/spreadsheetml/2006/main">
  <sheetData>
    <row r="1">
      <c r="A1" t="s">
        <v>128</v>
      </c>
    </row>
    <row r="2">
      <c r="A2" t="s">
        <v>129</v>
      </c>
    </row>
    <row r="3">
      <c r="A3" t="s">
        <v>130</v>
      </c>
    </row>
    <row r="5">
      <c r="A5" t="s">
        <v>131</v>
      </c>
    </row>
    <row r="6">
      <c r="A6" t="s">
        <v>132</v>
      </c>
      <c r="B6">
        <v>200</v>
      </c>
      <c r="C6" t="s">
        <v>66</v>
      </c>
      <c r="D6">
        <f>B6*1E9</f>
      </c>
      <c r="E6" t="s">
        <v>81</v>
      </c>
    </row>
    <row r="7">
      <c r="A7" t="s">
        <v>133</v>
      </c>
      <c r="B7">
        <v>250</v>
      </c>
      <c r="C7" t="s">
        <v>68</v>
      </c>
      <c r="D7">
        <f>B7*1E6</f>
      </c>
      <c r="E7" t="s">
        <v>81</v>
      </c>
    </row>
    <row r="8">
      <c r="A8" t="s">
        <v>134</v>
      </c>
      <c r="B8">
        <v>2</v>
      </c>
      <c r="C8" t="s">
        <v>135</v>
      </c>
    </row>
    <row r="10">
      <c r="A10" t="s">
        <v>136</v>
      </c>
    </row>
    <row r="11">
      <c r="A11" t="s">
        <v>137</v>
      </c>
      <c r="B11">
        <v>2</v>
      </c>
      <c r="C11" t="s">
        <v>7</v>
      </c>
    </row>
    <row r="12">
      <c r="A12" t="s">
        <v>138</v>
      </c>
      <c r="B12">
        <v>2.5</v>
      </c>
      <c r="C12" t="s">
        <v>7</v>
      </c>
    </row>
    <row r="13">
      <c r="A13" t="s">
        <v>139</v>
      </c>
      <c r="B13">
        <v>3.5</v>
      </c>
      <c r="C13" t="s">
        <v>7</v>
      </c>
    </row>
    <row r="15">
      <c r="A15" t="s">
        <v>140</v>
      </c>
    </row>
    <row r="16">
      <c r="A16" t="s">
        <v>141</v>
      </c>
      <c r="B16">
        <v>13</v>
      </c>
      <c r="C16" t="s">
        <v>142</v>
      </c>
      <c r="D16">
        <f>B16/100</f>
      </c>
      <c r="E16" t="s">
        <v>7</v>
      </c>
    </row>
    <row r="17">
      <c r="A17" t="s">
        <v>143</v>
      </c>
      <c r="B17">
        <v>15</v>
      </c>
      <c r="C17" t="s">
        <v>142</v>
      </c>
      <c r="D17">
        <f>B17/100</f>
      </c>
      <c r="E17" t="s">
        <v>7</v>
      </c>
    </row>
    <row r="19">
      <c r="A19" t="s">
        <v>144</v>
      </c>
    </row>
    <row r="20">
      <c r="A20" t="s">
        <v>145</v>
      </c>
      <c r="B20">
        <f>PI()*(D17^4-D16^4)/64</f>
      </c>
      <c r="C20" t="s">
        <v>13</v>
      </c>
    </row>
    <row r="21">
      <c r="A21" t="s">
        <v>146</v>
      </c>
      <c r="B21">
        <f>PI()*(D17^2-D16^2)/4</f>
      </c>
      <c r="C21" t="s">
        <v>11</v>
      </c>
    </row>
    <row r="22">
      <c r="A22" t="s">
        <v>147</v>
      </c>
      <c r="B22">
        <f>SQRT(B20/B21)</f>
      </c>
      <c r="C22" t="s">
        <v>7</v>
      </c>
    </row>
    <row r="23">
      <c r="A23" t="s">
        <v>148</v>
      </c>
      <c r="B23">
        <f>SQRT(2*PI()^2*D6/D7)</f>
      </c>
    </row>
    <row r="25">
      <c r="A25" t="s">
        <v>149</v>
      </c>
    </row>
    <row r="26">
      <c r="A26" t="s">
        <v>137</v>
      </c>
      <c r="B26">
        <f>B11</f>
      </c>
      <c r="C26" t="s">
        <v>7</v>
      </c>
      <c r="E26" t="s">
        <v>138</v>
      </c>
      <c r="F26">
        <f>B12</f>
      </c>
      <c r="G26" t="s">
        <v>7</v>
      </c>
      <c r="I26" t="s">
        <v>139</v>
      </c>
      <c r="J26">
        <f>B13</f>
      </c>
      <c r="K26" t="s">
        <v>7</v>
      </c>
    </row>
    <row r="27">
      <c r="A27" t="s">
        <v>150</v>
      </c>
      <c r="B27">
        <f>B8*B11</f>
      </c>
      <c r="C27" t="s">
        <v>7</v>
      </c>
      <c r="E27" t="s">
        <v>150</v>
      </c>
      <c r="F27">
        <f>B8*B12</f>
      </c>
      <c r="G27" t="s">
        <v>7</v>
      </c>
      <c r="I27" t="s">
        <v>150</v>
      </c>
      <c r="J27">
        <f>B8*B13</f>
      </c>
      <c r="K27" t="s">
        <v>7</v>
      </c>
    </row>
    <row r="28">
      <c r="A28" t="s">
        <v>151</v>
      </c>
      <c r="B28">
        <f>(B8*B11)/B22</f>
      </c>
      <c r="E28" t="s">
        <v>151</v>
      </c>
      <c r="F28">
        <f>(B8*B12)/B22</f>
      </c>
      <c r="I28" t="s">
        <v>151</v>
      </c>
      <c r="J28">
        <f>(B8*B13)/B22</f>
      </c>
    </row>
    <row r="29">
      <c r="A29" t="s">
        <v>152</v>
      </c>
      <c r="B29">
        <f>PI()^2*D6*B20/(B8*B11)^2</f>
      </c>
      <c r="C29" t="s">
        <v>86</v>
      </c>
      <c r="E29" t="s">
        <v>152</v>
      </c>
      <c r="F29">
        <f>PI()^2*D6*B20/(B8*B12)^2</f>
      </c>
      <c r="G29" t="s">
        <v>86</v>
      </c>
      <c r="I29" t="s">
        <v>152</v>
      </c>
      <c r="J29">
        <f>PI()^2*D6*B20/(B8*B13)^2</f>
      </c>
      <c r="K29" t="s">
        <v>86</v>
      </c>
    </row>
    <row r="30">
      <c r="A30" t="s">
        <v>153</v>
      </c>
      <c r="B30">
        <f>B29/1000</f>
      </c>
      <c r="C30" t="s">
        <v>91</v>
      </c>
      <c r="E30" t="s">
        <v>153</v>
      </c>
      <c r="F30">
        <f>F29/1000</f>
      </c>
      <c r="G30" t="s">
        <v>91</v>
      </c>
      <c r="I30" t="s">
        <v>153</v>
      </c>
      <c r="J30">
        <f>J29/1000</f>
      </c>
      <c r="K30" t="s">
        <v>91</v>
      </c>
    </row>
    <row r="31">
      <c r="A31" t="s">
        <v>154</v>
      </c>
      <c r="B31">
        <f>B29/B21</f>
      </c>
      <c r="C31" t="s">
        <v>81</v>
      </c>
      <c r="E31" t="s">
        <v>154</v>
      </c>
      <c r="F31">
        <f>F29/B21</f>
      </c>
      <c r="G31" t="s">
        <v>81</v>
      </c>
      <c r="I31" t="s">
        <v>154</v>
      </c>
      <c r="J31">
        <f>J29/B21</f>
      </c>
      <c r="K31" t="s">
        <v>81</v>
      </c>
    </row>
    <row r="32">
      <c r="A32" t="s">
        <v>155</v>
      </c>
      <c r="B32">
        <f>B31/1E6</f>
      </c>
      <c r="C32" t="s">
        <v>68</v>
      </c>
      <c r="E32" t="s">
        <v>155</v>
      </c>
      <c r="F32">
        <f>F31/1E6</f>
      </c>
      <c r="G32" t="s">
        <v>68</v>
      </c>
      <c r="I32" t="s">
        <v>155</v>
      </c>
      <c r="J32">
        <f>J31/1E6</f>
      </c>
      <c r="K32" t="s">
        <v>68</v>
      </c>
    </row>
    <row r="35">
      <c r="A35" t="s">
        <v>156</v>
      </c>
    </row>
    <row r="36">
      <c r="A36" t="s">
        <v>137</v>
      </c>
      <c r="B36">
        <f>B11</f>
      </c>
      <c r="C36" t="s">
        <v>7</v>
      </c>
      <c r="E36" t="s">
        <v>138</v>
      </c>
      <c r="F36">
        <f>B12</f>
      </c>
      <c r="G36" t="s">
        <v>7</v>
      </c>
      <c r="I36" t="s">
        <v>139</v>
      </c>
      <c r="J36">
        <f>B13</f>
      </c>
      <c r="K36" t="s">
        <v>7</v>
      </c>
    </row>
    <row r="37">
      <c r="A37" t="s">
        <v>157</v>
      </c>
      <c r="B37">
        <f>(B8*B11)/B22</f>
      </c>
      <c r="E37" t="s">
        <v>157</v>
      </c>
      <c r="F37">
        <f>(B8*B12)/B22</f>
      </c>
      <c r="I37" t="s">
        <v>157</v>
      </c>
      <c r="J37">
        <f>(B8*B13)/B22</f>
      </c>
    </row>
    <row r="38">
      <c r="A38" t="s">
        <v>158</v>
      </c>
      <c r="B38">
        <f>B23</f>
      </c>
      <c r="E38" t="s">
        <v>158</v>
      </c>
      <c r="F38">
        <f>B23</f>
      </c>
      <c r="I38" t="s">
        <v>158</v>
      </c>
      <c r="J38">
        <f>B23</f>
      </c>
    </row>
    <row r="39">
      <c r="A39" t="s">
        <v>159</v>
      </c>
      <c r="E39" t="s">
        <v>159</v>
      </c>
      <c r="I39" t="s">
        <v>159</v>
      </c>
    </row>
    <row r="40">
      <c r="A40" t="s">
        <v>160</v>
      </c>
      <c r="B40">
        <f>IF(B37&lt;B38,"Corta (kL/r &lt; Cc)","Larga (kL/r &gt; Cc)")</f>
      </c>
      <c r="E40" t="s">
        <v>160</v>
      </c>
      <c r="F40">
        <f>IF(F37&lt;F38,"Corta (kL/r &lt; Cc)","Larga (kL/r &gt; Cc)")</f>
      </c>
      <c r="I40" t="s">
        <v>160</v>
      </c>
      <c r="J40">
        <f>IF(J37&lt;J38,"Corta (kL/r &lt; Cc)","Larga (kL/r &gt; Cc)")</f>
      </c>
    </row>
    <row r="42">
      <c r="A42" t="s">
        <v>161</v>
      </c>
      <c r="B42">
        <f>IF(B37&lt;B38,(D7*(1-B37^2/(2*B38^2)))/(5/3+3*B37/(8*B38)-B37^3/(8*B38^3)),(12*PI()^2*D6/(23*B37^2)))</f>
      </c>
      <c r="C42" t="s">
        <v>81</v>
      </c>
      <c r="E42" t="s">
        <v>161</v>
      </c>
      <c r="F42">
        <f>IF(F37&lt;F38,(D7*(1-F37^2/(2*F38^2)))/(5/3+3*F37/(8*F38)-F37^3/(8*F38^3)),(12*PI()^2*D6/(23*F37^2)))</f>
      </c>
      <c r="G42" t="s">
        <v>81</v>
      </c>
      <c r="I42" t="s">
        <v>161</v>
      </c>
      <c r="J42">
        <f>IF(J37&lt;J38,(D7*(1-J37^2/(2*J38^2)))/(5/3+3*J37/(8*J38)-J37^3/(8*J38^3)),(12*PI()^2*D6/(23*J37^2)))</f>
      </c>
      <c r="K42" t="s">
        <v>81</v>
      </c>
    </row>
    <row r="43">
      <c r="A43" t="s">
        <v>162</v>
      </c>
      <c r="B43">
        <f>B42/1E6</f>
      </c>
      <c r="C43" t="s">
        <v>68</v>
      </c>
      <c r="E43" t="s">
        <v>162</v>
      </c>
      <c r="F43">
        <f>F42/1E6</f>
      </c>
      <c r="G43" t="s">
        <v>68</v>
      </c>
      <c r="I43" t="s">
        <v>162</v>
      </c>
      <c r="J43">
        <f>J42/1E6</f>
      </c>
      <c r="K43" t="s">
        <v>68</v>
      </c>
    </row>
    <row r="44">
      <c r="A44" t="s">
        <v>163</v>
      </c>
      <c r="B44">
        <f>B42*B21</f>
      </c>
      <c r="C44" t="s">
        <v>86</v>
      </c>
      <c r="E44" t="s">
        <v>163</v>
      </c>
      <c r="F44">
        <f>F42*B21</f>
      </c>
      <c r="G44" t="s">
        <v>86</v>
      </c>
      <c r="I44" t="s">
        <v>163</v>
      </c>
      <c r="J44">
        <f>J42*B21</f>
      </c>
      <c r="K44" t="s">
        <v>86</v>
      </c>
    </row>
    <row r="45">
      <c r="A45" t="s">
        <v>164</v>
      </c>
      <c r="B45">
        <f>B44/1000</f>
      </c>
      <c r="C45" t="s">
        <v>91</v>
      </c>
      <c r="E45" t="s">
        <v>164</v>
      </c>
      <c r="F45">
        <f>F44/1000</f>
      </c>
      <c r="G45" t="s">
        <v>91</v>
      </c>
      <c r="I45" t="s">
        <v>164</v>
      </c>
      <c r="J45">
        <f>J44/1000</f>
      </c>
      <c r="K45" t="s">
        <v>91</v>
      </c>
    </row>
    <row r="48">
      <c r="A48" t="s">
        <v>165</v>
      </c>
    </row>
    <row r="49">
      <c r="A49" t="s">
        <v>166</v>
      </c>
      <c r="B49" t="s">
        <v>167</v>
      </c>
      <c r="C49" t="s">
        <v>168</v>
      </c>
      <c r="D49" t="s">
        <v>169</v>
      </c>
      <c r="E49" t="s">
        <v>170</v>
      </c>
    </row>
    <row r="50">
      <c r="A50" t="s">
        <v>171</v>
      </c>
      <c r="B50">
        <f>B30</f>
      </c>
      <c r="C50">
        <f>F30</f>
      </c>
      <c r="D50">
        <f>J30</f>
      </c>
      <c r="E50" t="s">
        <v>91</v>
      </c>
    </row>
    <row r="51">
      <c r="A51" t="s">
        <v>172</v>
      </c>
      <c r="B51">
        <f>B32</f>
      </c>
      <c r="C51">
        <f>F32</f>
      </c>
      <c r="D51">
        <f>J32</f>
      </c>
      <c r="E51" t="s">
        <v>68</v>
      </c>
    </row>
    <row r="52">
      <c r="A52" t="s">
        <v>173</v>
      </c>
      <c r="B52">
        <f>B45</f>
      </c>
      <c r="C52">
        <f>F45</f>
      </c>
      <c r="D52">
        <f>J45</f>
      </c>
      <c r="E52" t="s">
        <v>91</v>
      </c>
    </row>
    <row r="53">
      <c r="A53" t="s">
        <v>174</v>
      </c>
      <c r="B53">
        <f>B43</f>
      </c>
      <c r="C53">
        <f>F43</f>
      </c>
      <c r="D53">
        <f>J43</f>
      </c>
      <c r="E53" t="s">
        <v>68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175</v>
      </c>
    </row>
    <row r="3">
      <c r="A3" t="s">
        <v>176</v>
      </c>
    </row>
    <row r="4">
      <c r="A4" t="s">
        <v>132</v>
      </c>
      <c r="B4">
        <v>30000000</v>
      </c>
      <c r="C4" t="s">
        <v>177</v>
      </c>
    </row>
    <row r="5">
      <c r="A5" t="s">
        <v>133</v>
      </c>
      <c r="B5">
        <v>20000</v>
      </c>
      <c r="C5" t="s">
        <v>177</v>
      </c>
    </row>
    <row r="7">
      <c r="A7" t="s">
        <v>178</v>
      </c>
    </row>
    <row r="8">
      <c r="A8" t="s">
        <v>179</v>
      </c>
      <c r="B8">
        <v>1</v>
      </c>
    </row>
    <row r="9">
      <c r="A9" t="s">
        <v>180</v>
      </c>
      <c r="B9">
        <v>0.7</v>
      </c>
    </row>
    <row r="10">
      <c r="A10" t="s">
        <v>181</v>
      </c>
      <c r="B10">
        <v>0.5</v>
      </c>
    </row>
    <row r="11">
      <c r="A11" t="s">
        <v>182</v>
      </c>
      <c r="B11">
        <v>2</v>
      </c>
    </row>
    <row r="13">
      <c r="A13" t="s">
        <v>183</v>
      </c>
    </row>
    <row r="14">
      <c r="A14" t="s">
        <v>184</v>
      </c>
      <c r="B14">
        <v>2.5</v>
      </c>
      <c r="C14" t="s">
        <v>7</v>
      </c>
      <c r="D14">
        <f>B14*39.27</f>
      </c>
      <c r="E14" t="s">
        <v>185</v>
      </c>
    </row>
    <row r="16">
      <c r="A16" t="s">
        <v>186</v>
      </c>
    </row>
    <row r="17">
      <c r="A17" t="s">
        <v>187</v>
      </c>
      <c r="B17">
        <v>60</v>
      </c>
      <c r="C17" t="s">
        <v>188</v>
      </c>
    </row>
    <row r="18">
      <c r="A18" t="s">
        <v>189</v>
      </c>
      <c r="B18">
        <v>17.6</v>
      </c>
      <c r="C18" t="s">
        <v>190</v>
      </c>
    </row>
    <row r="19">
      <c r="A19" t="s">
        <v>191</v>
      </c>
      <c r="B19">
        <v>10.22</v>
      </c>
      <c r="C19" t="s">
        <v>185</v>
      </c>
    </row>
    <row r="20">
      <c r="A20" t="s">
        <v>192</v>
      </c>
      <c r="B20">
        <v>0.42</v>
      </c>
      <c r="C20" t="s">
        <v>185</v>
      </c>
    </row>
    <row r="21">
      <c r="A21" t="s">
        <v>193</v>
      </c>
      <c r="B21">
        <v>10.08</v>
      </c>
      <c r="C21" t="s">
        <v>185</v>
      </c>
    </row>
    <row r="22">
      <c r="A22" t="s">
        <v>194</v>
      </c>
      <c r="B22">
        <v>0.68</v>
      </c>
      <c r="C22" t="s">
        <v>185</v>
      </c>
    </row>
    <row r="24">
      <c r="A24" t="s">
        <v>195</v>
      </c>
      <c r="B24">
        <v>341</v>
      </c>
      <c r="C24" t="s">
        <v>196</v>
      </c>
    </row>
    <row r="25">
      <c r="A25" t="s">
        <v>197</v>
      </c>
      <c r="B25">
        <v>66.7</v>
      </c>
      <c r="C25" t="s">
        <v>198</v>
      </c>
    </row>
    <row r="26">
      <c r="A26" t="s">
        <v>199</v>
      </c>
      <c r="B26">
        <v>4.39</v>
      </c>
      <c r="C26" t="s">
        <v>185</v>
      </c>
    </row>
    <row r="27">
      <c r="A27" t="s">
        <v>200</v>
      </c>
      <c r="B27">
        <v>116</v>
      </c>
      <c r="C27" t="s">
        <v>196</v>
      </c>
    </row>
    <row r="28">
      <c r="A28" t="s">
        <v>201</v>
      </c>
      <c r="B28">
        <v>23</v>
      </c>
      <c r="C28" t="s">
        <v>198</v>
      </c>
    </row>
    <row r="29">
      <c r="A29" t="s">
        <v>202</v>
      </c>
      <c r="B29">
        <v>2.57</v>
      </c>
      <c r="C29" t="s">
        <v>185</v>
      </c>
    </row>
    <row r="31">
      <c r="A31" t="s">
        <v>203</v>
      </c>
    </row>
    <row r="32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 t="s">
        <v>211</v>
      </c>
      <c r="I32" t="s">
        <v>212</v>
      </c>
      <c r="J32" t="s">
        <v>213</v>
      </c>
    </row>
    <row r="33">
      <c r="A33" t="s">
        <v>214</v>
      </c>
      <c r="B33">
        <f>B8</f>
      </c>
      <c r="C33">
        <f>B8*D14</f>
      </c>
      <c r="D33">
        <f>C33/B29</f>
      </c>
      <c r="E33">
        <f>PI()^2*B4*B27/C33^2</f>
      </c>
      <c r="F33">
        <f>E33/B18</f>
      </c>
      <c r="G33">
        <f>SQRT(2*PI()^2*B4/B5)</f>
      </c>
      <c r="H33">
        <f>IF(D33&lt;G33,"Corta","Larga")</f>
      </c>
      <c r="I33">
        <f>IF(D33&lt;G33,(B5*(1-D33^2/(2*G33^2)))/(5/3+3*D33/(8*G33)-D33^3/(8*G33^3)),(12*PI()^2*B4/(23*D33^2)))</f>
      </c>
      <c r="J33">
        <f>I33*B18</f>
      </c>
    </row>
    <row r="34">
      <c r="A34" t="s">
        <v>215</v>
      </c>
      <c r="B34">
        <f>B9</f>
      </c>
      <c r="C34">
        <f>B9*D14</f>
      </c>
      <c r="D34">
        <f>C34/B29</f>
      </c>
      <c r="E34">
        <f>PI()^2*B4*B27/C34^2</f>
      </c>
      <c r="F34">
        <f>E34/B18</f>
      </c>
      <c r="G34">
        <f>SQRT(2*PI()^2*B4/B5)</f>
      </c>
      <c r="H34">
        <f>IF(D34&lt;G34,"Corta","Larga")</f>
      </c>
      <c r="I34">
        <f>IF(D34&lt;G34,(B5*(1-D34^2/(2*G34^2)))/(5/3+3*D34/(8*G34)-D34^3/(8*G34^3)),(12*PI()^2*B4/(23*D34^2)))</f>
      </c>
      <c r="J34">
        <f>I34*B18</f>
      </c>
    </row>
    <row r="35">
      <c r="A35" t="s">
        <v>216</v>
      </c>
      <c r="B35">
        <f>B10</f>
      </c>
      <c r="C35">
        <f>B10*D14</f>
      </c>
      <c r="D35">
        <f>C35/B29</f>
      </c>
      <c r="E35">
        <f>PI()^2*B4*B27/C35^2</f>
      </c>
      <c r="F35">
        <f>E35/B18</f>
      </c>
      <c r="G35">
        <f>SQRT(2*PI()^2*B4/B5)</f>
      </c>
      <c r="H35">
        <f>IF(D35&lt;G35,"Corta","Larga")</f>
      </c>
      <c r="I35">
        <f>IF(D35&lt;G35,(B5*(1-D35^2/(2*G35^2)))/(5/3+3*D35/(8*G35)-D35^3/(8*G35^3)),(12*PI()^2*B4/(23*D35^2)))</f>
      </c>
      <c r="J35">
        <f>I35*B18</f>
      </c>
    </row>
    <row r="36">
      <c r="A36" t="s">
        <v>217</v>
      </c>
      <c r="B36">
        <f>B11</f>
      </c>
      <c r="C36">
        <f>B11*D14</f>
      </c>
      <c r="D36">
        <f>C36/B29</f>
      </c>
      <c r="E36">
        <f>PI()^2*B4*B27/C36^2</f>
      </c>
      <c r="F36">
        <f>E36/B18</f>
      </c>
      <c r="G36">
        <f>SQRT(2*PI()^2*B4/B5)</f>
      </c>
      <c r="H36">
        <f>IF(D36&lt;G36,"Corta","Larga")</f>
      </c>
      <c r="I36">
        <f>IF(D36&lt;G36,(B5*(1-D36^2/(2*G36^2)))/(5/3+3*D36/(8*G36)-D36^3/(8*G36^3)),(12*PI()^2*B4/(23*D36^2)))</f>
      </c>
      <c r="J36">
        <f>I36*B18</f>
      </c>
    </row>
  </sheetData>
</worksheet>
</file>